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74063E8F-5D5F-4387-92A4-E8A82EB154CD}" xr6:coauthVersionLast="47" xr6:coauthVersionMax="47" xr10:uidLastSave="{00000000-0000-0000-0000-000000000000}"/>
  <bookViews>
    <workbookView xWindow="-120" yWindow="-120" windowWidth="29040" windowHeight="15720" activeTab="1" xr2:uid="{40965169-623D-402D-B006-6C7876DB2AB9}"/>
  </bookViews>
  <sheets>
    <sheet name="Pivot" sheetId="1" r:id="rId1"/>
    <sheet name="Dashboard" sheetId="3" r:id="rId2"/>
  </sheets>
  <definedNames>
    <definedName name="Slicer_Category">#N/A</definedName>
    <definedName name="Slicer_Payment_Method">#N/A</definedName>
    <definedName name="Timeline_Purchase_Date">#N/A</definedName>
  </definedNames>
  <calcPr calcId="191029"/>
  <pivotCaches>
    <pivotCache cacheId="0" r:id="rId3"/>
    <pivotCache cacheId="1" r:id="rId4"/>
    <pivotCache cacheId="2" r:id="rId5"/>
    <pivotCache cacheId="3" r:id="rId6"/>
    <pivotCache cacheId="4" r:id="rId7"/>
    <pivotCache cacheId="5" r:id="rId8"/>
    <pivotCache cacheId="6"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3"/>
      </x15:timelineCachePivotCaches>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_02164d35-a50b-4a5e-84f7-a6d1ff5ee4dd" name="SalesData" connection="Query - SalesData"/>
        </x15:modelTables>
        <x15:extLst>
          <ext xmlns:x16="http://schemas.microsoft.com/office/spreadsheetml/2014/11/main" uri="{9835A34E-60A6-4A7C-AAB8-D5F71C897F49}">
            <x16:modelTimeGroupings>
              <x16:modelTimeGrouping tableName="SalesData" columnName="Purchase_Date" columnId="Purchase_Date">
                <x16:calculatedTimeColumn columnName="Purchase_Date (Month Index)" columnId="Purchase_Date (Month Index)" contentType="monthsindex" isSelected="1"/>
                <x16:calculatedTimeColumn columnName="Purchase_Date (Month)" columnId="Purchas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4" i="1" l="1"/>
  <c r="D36" i="1"/>
  <c r="D15" i="1"/>
  <c r="R15" i="1"/>
  <c r="F3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159A6D-BFDF-4C04-AF2A-DEB9FC3C0C3D}" name="Query - SalesData" description="Connection to the 'SalesData' query in the workbook." type="100" refreshedVersion="8" minRefreshableVersion="5">
    <extLst>
      <ext xmlns:x15="http://schemas.microsoft.com/office/spreadsheetml/2010/11/main" uri="{DE250136-89BD-433C-8126-D09CA5730AF9}">
        <x15:connection id="b0036463-388c-4ba1-abb2-b417dd832fed"/>
      </ext>
    </extLst>
  </connection>
  <connection id="2" xr16:uid="{596921AA-C28F-4541-BD42-1E774D687B2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<sst xmlns="http://schemas.openxmlformats.org/spreadsheetml/2006/main" count="83" uniqueCount="48">
  <si>
    <t>Sports</t>
  </si>
  <si>
    <t>Net Banking</t>
  </si>
  <si>
    <t>Clothing</t>
  </si>
  <si>
    <t>Credit Card</t>
  </si>
  <si>
    <t>Toys</t>
  </si>
  <si>
    <t>UPI</t>
  </si>
  <si>
    <t>Beauty</t>
  </si>
  <si>
    <t>Books</t>
  </si>
  <si>
    <t>Home &amp; Kitchen</t>
  </si>
  <si>
    <t>Cash on Delivery</t>
  </si>
  <si>
    <t>Electronics</t>
  </si>
  <si>
    <t>Debit Card</t>
  </si>
  <si>
    <t>6390f2ea-8</t>
  </si>
  <si>
    <t>5a4c2797-7</t>
  </si>
  <si>
    <t>475d4cf1-c</t>
  </si>
  <si>
    <t>3be497cb-0</t>
  </si>
  <si>
    <t>e88dc97f-5</t>
  </si>
  <si>
    <t>67d7c91c-b</t>
  </si>
  <si>
    <t>2a8fff8b-4</t>
  </si>
  <si>
    <t>128bb94a-4</t>
  </si>
  <si>
    <t>585b0773-2</t>
  </si>
  <si>
    <t>28714133-6</t>
  </si>
  <si>
    <t>Row Labels</t>
  </si>
  <si>
    <t>Grand Total</t>
  </si>
  <si>
    <t>Total Net Revenue</t>
  </si>
  <si>
    <t>Amount Lost to Discounts</t>
  </si>
  <si>
    <t>Total Order Volume</t>
  </si>
  <si>
    <t>Payment Gateway Engine</t>
  </si>
  <si>
    <t>Category Engine</t>
  </si>
  <si>
    <t>Time-Series Engine</t>
  </si>
  <si>
    <t>Jan</t>
  </si>
  <si>
    <t>Feb</t>
  </si>
  <si>
    <t>Mar</t>
  </si>
  <si>
    <t>Apr</t>
  </si>
  <si>
    <t>May</t>
  </si>
  <si>
    <t>Jun</t>
  </si>
  <si>
    <t>Jul</t>
  </si>
  <si>
    <t>Aug</t>
  </si>
  <si>
    <t>Sep</t>
  </si>
  <si>
    <t>Oct</t>
  </si>
  <si>
    <t>Nov</t>
  </si>
  <si>
    <t>Top Products</t>
  </si>
  <si>
    <t>E-COMMERCE EXECUTIVE PERFORMANCE DASHBOARD</t>
  </si>
  <si>
    <t>Gross revenue</t>
  </si>
  <si>
    <t>Total Gross Revenue (Before Discounts)</t>
  </si>
  <si>
    <t>Average Discount Given</t>
  </si>
  <si>
    <t>AVG DISCOUNT</t>
  </si>
  <si>
    <t>PAYEMENT BY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</si>
</sst>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39]#,##0.00"/>
    <numFmt numFmtId="165" formatCode="[$₹-4009]\ #,##0.00"/>
    <numFmt numFmtId="166" formatCode="_ [$₹-439]* #,##0.00_ ;_ [$₹-439]* \-#,##0.00_ ;_ [$₹-439]* &quot;-&quot;??_ ;_ @_ "/>
    <numFmt numFmtId="167" formatCode="0.00%;\-0.00%;0.00%"/>
  </numFmts>
  <fonts count="7" x14ac:knownFonts="1">
    <font>
      <sz val="11"/>
      <color theme="1"/>
      <name val="Aptos Narrow"/>
      <family val="2"/>
      <scheme val="minor"/>
    </font>
    <font>
      <b/>
      <sz val="18"/>
      <color theme="1"/>
      <name val="Aptos Narrow"/>
      <family val="2"/>
      <scheme val="minor"/>
    </font>
    <font>
      <sz val="11"/>
      <color theme="1"/>
      <name val="Aptos Narrow"/>
      <family val="2"/>
      <scheme val="minor"/>
    </font>
    <font>
      <sz val="11"/>
      <color theme="0"/>
      <name val="Aptos Narrow"/>
      <family val="2"/>
      <scheme val="minor"/>
    </font>
    <font>
      <sz val="11"/>
      <color rgb="FFFFFFFF"/>
      <name val="Aptos Narrow"/>
      <family val="2"/>
      <scheme val="minor"/>
    </font>
    <font>
      <b/>
      <sz val="16"/>
      <color theme="1"/>
      <name val="Aptos Narrow"/>
      <family val="2"/>
      <scheme val="minor"/>
    </font>
    <font>
      <b/>
      <sz val="29"/>
      <color theme="9"/>
      <name val="Aptos Narrow"/>
      <family val="2"/>
      <scheme val="minor"/>
    </font>
  </fonts>
  <fills count="3">
    <fill>
      <patternFill patternType="none"/>
    </fill>
    <fill>
      <patternFill patternType="gray125"/>
    </fill>
    <fill>
      <patternFill patternType="solid">
        <fgColor rgb="FFF4F5F7"/>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8">
    <xf numFmtId="0" fontId="0" fillId="0" borderId="0" xfId="0"/>
    <xf numFmtId="0" fontId="0" fillId="0" borderId="0" xfId="0" pivotButton="1"/>
    <xf numFmtId="0" fontId="0" fillId="0" borderId="0" xfId="0" applyAlignment="1">
      <alignment horizontal="left"/>
    </xf>
    <xf numFmtId="0" fontId="0" fillId="2" borderId="0" xfId="0" applyFill="1"/>
    <xf numFmtId="0" fontId="1" fillId="0" borderId="0" xfId="0" applyFont="1"/>
    <xf numFmtId="164" fontId="0" fillId="0" borderId="0" xfId="0" applyNumberFormat="1"/>
    <xf numFmtId="165" fontId="0" fillId="0" borderId="0" xfId="0" applyNumberFormat="1"/>
    <xf numFmtId="166" fontId="0" fillId="0" borderId="0" xfId="0" applyNumberFormat="1"/>
    <xf numFmtId="166" fontId="0" fillId="2" borderId="0" xfId="0" applyNumberFormat="1" applyFill="1"/>
    <xf numFmtId="166" fontId="4" fillId="0" borderId="0" xfId="0" applyNumberFormat="1" applyFont="1"/>
    <xf numFmtId="166" fontId="3" fillId="0" borderId="0" xfId="0" applyNumberFormat="1" applyFont="1"/>
    <xf numFmtId="0" fontId="4" fillId="0" borderId="0" xfId="0" applyFont="1"/>
    <xf numFmtId="167" fontId="0" fillId="0" borderId="0" xfId="0" applyNumberFormat="1"/>
    <xf numFmtId="10" fontId="4" fillId="0" borderId="0" xfId="1" applyNumberFormat="1" applyFont="1"/>
    <xf numFmtId="0" fontId="5" fillId="0" borderId="0" xfId="0" applyFont="1"/>
    <xf numFmtId="0" fontId="1" fillId="0" borderId="0" xfId="0" applyFont="1"/>
    <xf numFmtId="0" fontId="1" fillId="0" borderId="0" xfId="0" applyFont="1" applyAlignment="1">
      <alignment horizontal="center"/>
    </xf>
    <xf numFmtId="0" fontId="6" fillId="2" borderId="0" xfId="0" applyFont="1" applyFill="1"/>
  </cellXfs>
  <cellStyles count="2">
    <cellStyle name="Normal" xfId="0" builtinId="0"/>
    <cellStyle name="Percent" xfId="1" builtinId="5"/>
  </cellStyles>
  <dxfs count="6">
    <dxf>
      <numFmt numFmtId="166" formatCode="_ [$₹-439]* #,##0.00_ ;_ [$₹-439]* \-#,##0.00_ ;_ [$₹-439]* &quot;-&quot;??_ ;_ @_ "/>
    </dxf>
    <dxf>
      <numFmt numFmtId="166" formatCode="_ [$₹-439]* #,##0.00_ ;_ [$₹-439]* \-#,##0.00_ ;_ [$₹-439]* &quot;-&quot;??_ ;_ @_ "/>
    </dxf>
    <dxf>
      <numFmt numFmtId="166" formatCode="_ [$₹-439]* #,##0.00_ ;_ [$₹-439]* \-#,##0.00_ ;_ [$₹-439]* &quot;-&quot;??_ ;_ @_ "/>
    </dxf>
    <dxf>
      <numFmt numFmtId="165" formatCode="[$₹-4009]\ #,##0.00"/>
    </dxf>
    <dxf>
      <numFmt numFmtId="164" formatCode="[$₹-439]#,##0.00"/>
    </dxf>
    <dxf>
      <numFmt numFmtId="164" formatCode="[$₹-439]#,##0.00"/>
    </dxf>
  </dxfs>
  <tableStyles count="0" defaultTableStyle="TableStyleMedium2" defaultPivotStyle="PivotStyleLight16"/>
  <colors>
    <mruColors>
      <color rgb="FF2E75B6"/>
      <color rgb="FF1F4E79"/>
      <color rgb="FFFFFFFF"/>
      <color rgb="FFD62728"/>
      <color rgb="FFE0E0E0"/>
      <color rgb="FFF4F5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pivotCacheDefinition" Target="pivotCache/pivotCacheDefinition9.xml"/><Relationship Id="rId18" Type="http://schemas.openxmlformats.org/officeDocument/2006/relationships/sharedStrings" Target="sharedStrings.xml"/><Relationship Id="rId26" Type="http://schemas.openxmlformats.org/officeDocument/2006/relationships/customXml" Target="../customXml/item6.xml"/><Relationship Id="rId3" Type="http://schemas.openxmlformats.org/officeDocument/2006/relationships/pivotCacheDefinition" Target="pivotCache/pivotCacheDefinition1.xml"/><Relationship Id="rId21" Type="http://schemas.openxmlformats.org/officeDocument/2006/relationships/customXml" Target="../customXml/item1.xml"/><Relationship Id="rId7" Type="http://schemas.openxmlformats.org/officeDocument/2006/relationships/pivotCacheDefinition" Target="pivotCache/pivotCacheDefinition5.xml"/><Relationship Id="rId12" Type="http://schemas.microsoft.com/office/2007/relationships/slicerCache" Target="slicerCaches/slicerCache2.xml"/><Relationship Id="rId17" Type="http://schemas.openxmlformats.org/officeDocument/2006/relationships/styles" Target="styles.xml"/><Relationship Id="rId25"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ustomXml" Target="../customXml/item4.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11/relationships/timelineCache" Target="timelineCaches/timelineCach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70C0"/>
                </a:solidFill>
              </a:rPr>
              <a:t>REVENUE</a:t>
            </a:r>
            <a:r>
              <a:rPr lang="en-US" baseline="0">
                <a:solidFill>
                  <a:srgbClr val="0070C0"/>
                </a:solidFill>
              </a:rPr>
              <a:t> &amp; DISCOUNT BREAKDOWN BY CATEGORY</a:t>
            </a:r>
          </a:p>
        </c:rich>
      </c:tx>
      <c:layout>
        <c:manualLayout>
          <c:xMode val="edge"/>
          <c:yMode val="edge"/>
          <c:x val="0.11972569919939297"/>
          <c:y val="3.47970786893465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4E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D62728"/>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c:f>
              <c:strCache>
                <c:ptCount val="1"/>
                <c:pt idx="0">
                  <c:v>Total Net Revenue</c:v>
                </c:pt>
              </c:strCache>
            </c:strRef>
          </c:tx>
          <c:spPr>
            <a:solidFill>
              <a:srgbClr val="1F4E79"/>
            </a:solidFill>
            <a:ln>
              <a:noFill/>
            </a:ln>
            <a:effectLst/>
          </c:spPr>
          <c:invertIfNegative val="0"/>
          <c:cat>
            <c:strRef>
              <c:f>Pivot!$A$5:$A$12</c:f>
              <c:strCache>
                <c:ptCount val="7"/>
                <c:pt idx="0">
                  <c:v>Beauty</c:v>
                </c:pt>
                <c:pt idx="1">
                  <c:v>Books</c:v>
                </c:pt>
                <c:pt idx="2">
                  <c:v>Clothing</c:v>
                </c:pt>
                <c:pt idx="3">
                  <c:v>Electronics</c:v>
                </c:pt>
                <c:pt idx="4">
                  <c:v>Home &amp; Kitchen</c:v>
                </c:pt>
                <c:pt idx="5">
                  <c:v>Sports</c:v>
                </c:pt>
                <c:pt idx="6">
                  <c:v>Toys</c:v>
                </c:pt>
              </c:strCache>
            </c:strRef>
          </c:cat>
          <c:val>
            <c:numRef>
              <c:f>Pivot!$B$5:$B$12</c:f>
              <c:numCache>
                <c:formatCode>[$₹-439]#,##0.00</c:formatCode>
                <c:ptCount val="7"/>
                <c:pt idx="0">
                  <c:v>104215.1</c:v>
                </c:pt>
                <c:pt idx="1">
                  <c:v>111149.35</c:v>
                </c:pt>
                <c:pt idx="2">
                  <c:v>115314.84</c:v>
                </c:pt>
                <c:pt idx="3">
                  <c:v>100462.23</c:v>
                </c:pt>
                <c:pt idx="4">
                  <c:v>110328.08</c:v>
                </c:pt>
                <c:pt idx="5">
                  <c:v>108518.79</c:v>
                </c:pt>
                <c:pt idx="6">
                  <c:v>107289.69</c:v>
                </c:pt>
              </c:numCache>
            </c:numRef>
          </c:val>
          <c:extLst>
            <c:ext xmlns:c16="http://schemas.microsoft.com/office/drawing/2014/chart" uri="{C3380CC4-5D6E-409C-BE32-E72D297353CC}">
              <c16:uniqueId val="{00000000-A19F-46F2-9515-D425BCB5DD9B}"/>
            </c:ext>
          </c:extLst>
        </c:ser>
        <c:dLbls>
          <c:showLegendKey val="0"/>
          <c:showVal val="0"/>
          <c:showCatName val="0"/>
          <c:showSerName val="0"/>
          <c:showPercent val="0"/>
          <c:showBubbleSize val="0"/>
        </c:dLbls>
        <c:gapWidth val="219"/>
        <c:overlap val="-27"/>
        <c:axId val="1426400879"/>
        <c:axId val="1304207983"/>
      </c:barChart>
      <c:lineChart>
        <c:grouping val="standard"/>
        <c:varyColors val="0"/>
        <c:ser>
          <c:idx val="1"/>
          <c:order val="1"/>
          <c:tx>
            <c:strRef>
              <c:f>Pivot!$C$4</c:f>
              <c:strCache>
                <c:ptCount val="1"/>
                <c:pt idx="0">
                  <c:v>Amount Lost to Discounts</c:v>
                </c:pt>
              </c:strCache>
            </c:strRef>
          </c:tx>
          <c:spPr>
            <a:ln w="28575" cap="rnd">
              <a:solidFill>
                <a:srgbClr val="D62728"/>
              </a:solidFill>
              <a:round/>
            </a:ln>
            <a:effectLst/>
          </c:spPr>
          <c:marker>
            <c:symbol val="circle"/>
            <c:size val="5"/>
            <c:spPr>
              <a:solidFill>
                <a:schemeClr val="accent2"/>
              </a:solidFill>
              <a:ln w="9525">
                <a:solidFill>
                  <a:schemeClr val="accent2"/>
                </a:solidFill>
              </a:ln>
              <a:effectLst/>
            </c:spPr>
          </c:marker>
          <c:cat>
            <c:strRef>
              <c:f>Pivot!$A$5:$A$12</c:f>
              <c:strCache>
                <c:ptCount val="7"/>
                <c:pt idx="0">
                  <c:v>Beauty</c:v>
                </c:pt>
                <c:pt idx="1">
                  <c:v>Books</c:v>
                </c:pt>
                <c:pt idx="2">
                  <c:v>Clothing</c:v>
                </c:pt>
                <c:pt idx="3">
                  <c:v>Electronics</c:v>
                </c:pt>
                <c:pt idx="4">
                  <c:v>Home &amp; Kitchen</c:v>
                </c:pt>
                <c:pt idx="5">
                  <c:v>Sports</c:v>
                </c:pt>
                <c:pt idx="6">
                  <c:v>Toys</c:v>
                </c:pt>
              </c:strCache>
            </c:strRef>
          </c:cat>
          <c:val>
            <c:numRef>
              <c:f>Pivot!$C$5:$C$12</c:f>
              <c:numCache>
                <c:formatCode>[$₹-439]#,##0.00</c:formatCode>
                <c:ptCount val="7"/>
                <c:pt idx="0">
                  <c:v>23417.939999999988</c:v>
                </c:pt>
                <c:pt idx="1">
                  <c:v>27222.359999999986</c:v>
                </c:pt>
                <c:pt idx="2">
                  <c:v>24399.709999999992</c:v>
                </c:pt>
                <c:pt idx="3">
                  <c:v>24857.910000000003</c:v>
                </c:pt>
                <c:pt idx="4">
                  <c:v>26513.430000000008</c:v>
                </c:pt>
                <c:pt idx="5">
                  <c:v>25963.199999999997</c:v>
                </c:pt>
                <c:pt idx="6">
                  <c:v>22917.839999999997</c:v>
                </c:pt>
              </c:numCache>
            </c:numRef>
          </c:val>
          <c:smooth val="0"/>
          <c:extLst>
            <c:ext xmlns:c16="http://schemas.microsoft.com/office/drawing/2014/chart" uri="{C3380CC4-5D6E-409C-BE32-E72D297353CC}">
              <c16:uniqueId val="{00000001-A19F-46F2-9515-D425BCB5DD9B}"/>
            </c:ext>
          </c:extLst>
        </c:ser>
        <c:dLbls>
          <c:showLegendKey val="0"/>
          <c:showVal val="0"/>
          <c:showCatName val="0"/>
          <c:showSerName val="0"/>
          <c:showPercent val="0"/>
          <c:showBubbleSize val="0"/>
        </c:dLbls>
        <c:marker val="1"/>
        <c:smooth val="0"/>
        <c:axId val="1426400879"/>
        <c:axId val="1304207983"/>
      </c:lineChart>
      <c:catAx>
        <c:axId val="142640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207983"/>
        <c:crosses val="autoZero"/>
        <c:auto val="1"/>
        <c:lblAlgn val="ctr"/>
        <c:lblOffset val="100"/>
        <c:noMultiLvlLbl val="0"/>
      </c:catAx>
      <c:valAx>
        <c:axId val="1304207983"/>
        <c:scaling>
          <c:orientation val="minMax"/>
        </c:scaling>
        <c:delete val="0"/>
        <c:axPos val="l"/>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40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analysis.xlsx]Pivot!PivotTable4</c:name>
    <c:fmtId val="4"/>
  </c:pivotSource>
  <c:chart>
    <c:title>
      <c:tx>
        <c:rich>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r>
              <a:rPr lang="en-US">
                <a:solidFill>
                  <a:srgbClr val="0070C0"/>
                </a:solidFill>
              </a:rPr>
              <a:t>MONTHLY</a:t>
            </a:r>
            <a:r>
              <a:rPr lang="en-US" baseline="0">
                <a:solidFill>
                  <a:srgbClr val="0070C0"/>
                </a:solidFill>
              </a:rPr>
              <a:t> NET REVENUE TREND 2024</a:t>
            </a:r>
            <a:endParaRPr lang="en-US">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rgbClr val="1F4E79"/>
            </a:solidFill>
            <a:round/>
          </a:ln>
          <a:effectLst/>
        </c:spPr>
        <c:marker>
          <c:symbol val="circle"/>
          <c:size val="5"/>
          <c:spPr>
            <a:solidFill>
              <a:srgbClr val="FFFFFF"/>
            </a:solidFill>
            <a:ln w="9525">
              <a:solidFill>
                <a:srgbClr val="0070C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Pivot!$J$4</c:f>
              <c:strCache>
                <c:ptCount val="1"/>
                <c:pt idx="0">
                  <c:v>Total</c:v>
                </c:pt>
              </c:strCache>
            </c:strRef>
          </c:tx>
          <c:spPr>
            <a:ln w="31750" cap="rnd">
              <a:solidFill>
                <a:srgbClr val="1F4E79"/>
              </a:solidFill>
              <a:round/>
            </a:ln>
            <a:effectLst/>
          </c:spPr>
          <c:marker>
            <c:symbol val="circle"/>
            <c:size val="5"/>
            <c:spPr>
              <a:solidFill>
                <a:srgbClr val="FFFFFF"/>
              </a:solidFill>
              <a:ln w="9525">
                <a:solidFill>
                  <a:srgbClr val="0070C0"/>
                </a:solidFill>
              </a:ln>
              <a:effectLst/>
            </c:spPr>
          </c:marker>
          <c:cat>
            <c:strRef>
              <c:f>Pivot!$I$5:$I$16</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Pivot!$J$5:$J$16</c:f>
              <c:numCache>
                <c:formatCode>_ [$₹-439]* #,##0.00_ ;_ [$₹-439]* \-#,##0.00_ ;_ [$₹-439]* "-"??_ ;_ @_ </c:formatCode>
                <c:ptCount val="11"/>
                <c:pt idx="0">
                  <c:v>69009.429999999993</c:v>
                </c:pt>
                <c:pt idx="1">
                  <c:v>69186.34</c:v>
                </c:pt>
                <c:pt idx="2">
                  <c:v>71325.399999999994</c:v>
                </c:pt>
                <c:pt idx="3">
                  <c:v>74365.13</c:v>
                </c:pt>
                <c:pt idx="4">
                  <c:v>68837.25</c:v>
                </c:pt>
                <c:pt idx="5">
                  <c:v>64256.66</c:v>
                </c:pt>
                <c:pt idx="6">
                  <c:v>72798.23</c:v>
                </c:pt>
                <c:pt idx="7">
                  <c:v>71506.960000000006</c:v>
                </c:pt>
                <c:pt idx="8">
                  <c:v>68043.09</c:v>
                </c:pt>
                <c:pt idx="9">
                  <c:v>76034.509999999995</c:v>
                </c:pt>
                <c:pt idx="10">
                  <c:v>51915.08</c:v>
                </c:pt>
              </c:numCache>
            </c:numRef>
          </c:val>
          <c:smooth val="1"/>
          <c:extLst>
            <c:ext xmlns:c16="http://schemas.microsoft.com/office/drawing/2014/chart" uri="{C3380CC4-5D6E-409C-BE32-E72D297353CC}">
              <c16:uniqueId val="{00000000-3039-4522-89CE-5ABB0B5BC97D}"/>
            </c:ext>
          </c:extLst>
        </c:ser>
        <c:dLbls>
          <c:showLegendKey val="0"/>
          <c:showVal val="0"/>
          <c:showCatName val="0"/>
          <c:showSerName val="0"/>
          <c:showPercent val="0"/>
          <c:showBubbleSize val="0"/>
        </c:dLbls>
        <c:marker val="1"/>
        <c:smooth val="0"/>
        <c:axId val="2005616223"/>
        <c:axId val="1304273263"/>
      </c:lineChart>
      <c:catAx>
        <c:axId val="200561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273263"/>
        <c:crosses val="autoZero"/>
        <c:auto val="1"/>
        <c:lblAlgn val="ctr"/>
        <c:lblOffset val="100"/>
        <c:noMultiLvlLbl val="0"/>
      </c:catAx>
      <c:valAx>
        <c:axId val="1304273263"/>
        <c:scaling>
          <c:orientation val="minMax"/>
        </c:scaling>
        <c:delete val="0"/>
        <c:axPos val="l"/>
        <c:numFmt formatCode="_ [$₹-439]* #,##0.00_ ;_ [$₹-439]* \-#,##0.00_ ;_ [$₹-439]*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616223"/>
        <c:crosses val="autoZero"/>
        <c:crossBetween val="between"/>
      </c:valAx>
      <c:spPr>
        <a:noFill/>
        <a:ln w="3175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analysis.xlsx]Pivot!PivotTable8</c:name>
    <c:fmtId val="2"/>
  </c:pivotSource>
  <c:chart>
    <c:title>
      <c:tx>
        <c:rich>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r>
              <a:rPr lang="en-US">
                <a:solidFill>
                  <a:srgbClr val="0070C0"/>
                </a:solidFill>
              </a:rPr>
              <a:t>Payment Method Share (%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4.2251191336577225E-2"/>
              <c:y val="-2.80504208622692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layout>
            <c:manualLayout>
              <c:x val="-5.9738857437886603E-17"/>
              <c:y val="-1.8586694122287275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0FB7AE4B-F69A-420E-A959-B3F9C24812BE}" type="CATEGORYNAME">
                  <a:rPr lang="en-US">
                    <a:solidFill>
                      <a:srgbClr val="1F4E79"/>
                    </a:solidFill>
                  </a:rPr>
                  <a:pPr>
                    <a:defRPr b="1"/>
                  </a:pPr>
                  <a:t>[CATEGORY NAME]</a:t>
                </a:fld>
                <a:endParaRPr lang="en-US" baseline="0">
                  <a:solidFill>
                    <a:srgbClr val="1F4E79"/>
                  </a:solidFill>
                </a:endParaRPr>
              </a:p>
              <a:p>
                <a:pPr>
                  <a:defRPr b="1"/>
                </a:pPr>
                <a:fld id="{50FA8DA8-F23D-46FF-9AC5-82950C8CC7D0}" type="PERCENTAGE">
                  <a:rPr lang="en-US"/>
                  <a:pPr>
                    <a:defRPr b="1"/>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layout>
            <c:manualLayout>
              <c:x val="-8.7980060931772769E-2"/>
              <c:y val="-9.293347061143722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3034083101003367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Pivot!$T$4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B0-4643-9F50-EBF2DAA122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B0-4643-9F50-EBF2DAA122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B0-4643-9F50-EBF2DAA1221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2B0-4643-9F50-EBF2DAA1221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2B0-4643-9F50-EBF2DAA1221A}"/>
              </c:ext>
            </c:extLst>
          </c:dPt>
          <c:dLbls>
            <c:dLbl>
              <c:idx val="0"/>
              <c:layout>
                <c:manualLayout>
                  <c:x val="4.2251191336577225E-2"/>
                  <c:y val="-2.8050420862269297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A2B0-4643-9F50-EBF2DAA1221A}"/>
                </c:ext>
              </c:extLst>
            </c:dLbl>
            <c:dLbl>
              <c:idx val="2"/>
              <c:layout>
                <c:manualLayout>
                  <c:x val="-5.9738857437886603E-17"/>
                  <c:y val="-1.8586694122287275E-2"/>
                </c:manualLayout>
              </c:layout>
              <c:tx>
                <c:rich>
                  <a:bodyPr/>
                  <a:lstStyle/>
                  <a:p>
                    <a:fld id="{0FB7AE4B-F69A-420E-A959-B3F9C24812BE}" type="CATEGORYNAME">
                      <a:rPr lang="en-US">
                        <a:solidFill>
                          <a:srgbClr val="1F4E79"/>
                        </a:solidFill>
                      </a:rPr>
                      <a:pPr/>
                      <a:t>[CATEGORY NAME]</a:t>
                    </a:fld>
                    <a:endParaRPr lang="en-US" baseline="0">
                      <a:solidFill>
                        <a:srgbClr val="1F4E79"/>
                      </a:solidFill>
                    </a:endParaRPr>
                  </a:p>
                  <a:p>
                    <a:fld id="{50FA8DA8-F23D-46FF-9AC5-82950C8CC7D0}" type="PERCENTAGE">
                      <a:rPr lang="en-US"/>
                      <a:pPr/>
                      <a:t>[PERCENTAGE]</a:t>
                    </a:fld>
                    <a:endParaRPr lang="en-US"/>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5-A2B0-4643-9F50-EBF2DAA1221A}"/>
                </c:ext>
              </c:extLst>
            </c:dLbl>
            <c:dLbl>
              <c:idx val="3"/>
              <c:layout>
                <c:manualLayout>
                  <c:x val="-8.7980060931772769E-2"/>
                  <c:y val="-9.2933470611437224E-3"/>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A2B0-4643-9F50-EBF2DAA1221A}"/>
                </c:ext>
              </c:extLst>
            </c:dLbl>
            <c:dLbl>
              <c:idx val="4"/>
              <c:layout>
                <c:manualLayout>
                  <c:x val="-1.3034083101003367E-2"/>
                  <c:y val="0"/>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A2B0-4643-9F50-EBF2DAA1221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Pivot!$S$5:$S$10</c:f>
              <c:strCache>
                <c:ptCount val="5"/>
                <c:pt idx="0">
                  <c:v>Cash on Delivery</c:v>
                </c:pt>
                <c:pt idx="1">
                  <c:v>Credit Card</c:v>
                </c:pt>
                <c:pt idx="2">
                  <c:v>Debit Card</c:v>
                </c:pt>
                <c:pt idx="3">
                  <c:v>Net Banking</c:v>
                </c:pt>
                <c:pt idx="4">
                  <c:v>UPI</c:v>
                </c:pt>
              </c:strCache>
            </c:strRef>
          </c:cat>
          <c:val>
            <c:numRef>
              <c:f>Pivot!$T$5:$T$10</c:f>
              <c:numCache>
                <c:formatCode>General</c:formatCode>
                <c:ptCount val="5"/>
                <c:pt idx="0">
                  <c:v>146408.59</c:v>
                </c:pt>
                <c:pt idx="1">
                  <c:v>156018.01999999999</c:v>
                </c:pt>
                <c:pt idx="2">
                  <c:v>153362.26</c:v>
                </c:pt>
                <c:pt idx="3">
                  <c:v>146804.4</c:v>
                </c:pt>
                <c:pt idx="4">
                  <c:v>154684.81</c:v>
                </c:pt>
              </c:numCache>
            </c:numRef>
          </c:val>
          <c:extLst>
            <c:ext xmlns:c16="http://schemas.microsoft.com/office/drawing/2014/chart" uri="{C3380CC4-5D6E-409C-BE32-E72D297353CC}">
              <c16:uniqueId val="{0000000A-A2B0-4643-9F50-EBF2DAA1221A}"/>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analysis.xlsx]Pivot!PivotTable5</c:name>
    <c:fmtId val="2"/>
  </c:pivotSource>
  <c:chart>
    <c:title>
      <c:tx>
        <c:rich>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r>
              <a:rPr lang="en-US" sz="1400" b="0" i="0" u="none" strike="noStrike" baseline="0">
                <a:solidFill>
                  <a:srgbClr val="0070C0"/>
                </a:solidFill>
              </a:rPr>
              <a:t>Top 10 Products by Net Revenue</a:t>
            </a:r>
            <a:endParaRPr lang="en-US">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E75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Pivot!$B$19</c:f>
              <c:strCache>
                <c:ptCount val="1"/>
                <c:pt idx="0">
                  <c:v>Total</c:v>
                </c:pt>
              </c:strCache>
            </c:strRef>
          </c:tx>
          <c:spPr>
            <a:solidFill>
              <a:srgbClr val="2E75B6"/>
            </a:solidFill>
            <a:ln>
              <a:noFill/>
            </a:ln>
            <a:effectLst/>
          </c:spPr>
          <c:invertIfNegative val="0"/>
          <c:cat>
            <c:strRef>
              <c:f>Pivot!$A$20:$A$30</c:f>
              <c:strCache>
                <c:ptCount val="10"/>
                <c:pt idx="0">
                  <c:v>128bb94a-4</c:v>
                </c:pt>
                <c:pt idx="1">
                  <c:v>28714133-6</c:v>
                </c:pt>
                <c:pt idx="2">
                  <c:v>2a8fff8b-4</c:v>
                </c:pt>
                <c:pt idx="3">
                  <c:v>3be497cb-0</c:v>
                </c:pt>
                <c:pt idx="4">
                  <c:v>475d4cf1-c</c:v>
                </c:pt>
                <c:pt idx="5">
                  <c:v>585b0773-2</c:v>
                </c:pt>
                <c:pt idx="6">
                  <c:v>5a4c2797-7</c:v>
                </c:pt>
                <c:pt idx="7">
                  <c:v>6390f2ea-8</c:v>
                </c:pt>
                <c:pt idx="8">
                  <c:v>67d7c91c-b</c:v>
                </c:pt>
                <c:pt idx="9">
                  <c:v>e88dc97f-5</c:v>
                </c:pt>
              </c:strCache>
            </c:strRef>
          </c:cat>
          <c:val>
            <c:numRef>
              <c:f>Pivot!$B$20:$B$30</c:f>
              <c:numCache>
                <c:formatCode>General</c:formatCode>
                <c:ptCount val="10"/>
                <c:pt idx="0">
                  <c:v>487.06</c:v>
                </c:pt>
                <c:pt idx="1">
                  <c:v>486.79</c:v>
                </c:pt>
                <c:pt idx="2">
                  <c:v>495.02</c:v>
                </c:pt>
                <c:pt idx="3">
                  <c:v>480.49</c:v>
                </c:pt>
                <c:pt idx="4">
                  <c:v>493.04</c:v>
                </c:pt>
                <c:pt idx="5">
                  <c:v>484.56</c:v>
                </c:pt>
                <c:pt idx="6">
                  <c:v>496.82</c:v>
                </c:pt>
                <c:pt idx="7">
                  <c:v>479.63</c:v>
                </c:pt>
                <c:pt idx="8">
                  <c:v>491.7</c:v>
                </c:pt>
                <c:pt idx="9">
                  <c:v>492.41</c:v>
                </c:pt>
              </c:numCache>
            </c:numRef>
          </c:val>
          <c:extLst>
            <c:ext xmlns:c16="http://schemas.microsoft.com/office/drawing/2014/chart" uri="{C3380CC4-5D6E-409C-BE32-E72D297353CC}">
              <c16:uniqueId val="{00000000-A299-4516-8BFD-256D3B290CAC}"/>
            </c:ext>
          </c:extLst>
        </c:ser>
        <c:dLbls>
          <c:showLegendKey val="0"/>
          <c:showVal val="0"/>
          <c:showCatName val="0"/>
          <c:showSerName val="0"/>
          <c:showPercent val="0"/>
          <c:showBubbleSize val="0"/>
        </c:dLbls>
        <c:gapWidth val="182"/>
        <c:axId val="124731648"/>
        <c:axId val="1304289583"/>
      </c:barChart>
      <c:catAx>
        <c:axId val="1247316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289583"/>
        <c:crosses val="autoZero"/>
        <c:auto val="1"/>
        <c:lblAlgn val="ctr"/>
        <c:lblOffset val="100"/>
        <c:noMultiLvlLbl val="0"/>
      </c:catAx>
      <c:valAx>
        <c:axId val="1304289583"/>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3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2780</xdr:colOff>
      <xdr:row>1</xdr:row>
      <xdr:rowOff>22781</xdr:rowOff>
    </xdr:from>
    <xdr:to>
      <xdr:col>4</xdr:col>
      <xdr:colOff>0</xdr:colOff>
      <xdr:row>7</xdr:row>
      <xdr:rowOff>0</xdr:rowOff>
    </xdr:to>
    <xdr:sp macro="" textlink="Pivot!D36">
      <xdr:nvSpPr>
        <xdr:cNvPr id="2" name="Rectangle: Rounded Corners 1">
          <a:extLst>
            <a:ext uri="{FF2B5EF4-FFF2-40B4-BE49-F238E27FC236}">
              <a16:creationId xmlns:a16="http://schemas.microsoft.com/office/drawing/2014/main" id="{05432EB8-0BE4-10DB-DF8B-D4AFBB0A1E45}"/>
            </a:ext>
          </a:extLst>
        </xdr:cNvPr>
        <xdr:cNvSpPr/>
      </xdr:nvSpPr>
      <xdr:spPr>
        <a:xfrm>
          <a:off x="2780" y="291091"/>
          <a:ext cx="2438840" cy="11041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i="0" u="none" strike="noStrike">
              <a:solidFill>
                <a:schemeClr val="bg1">
                  <a:lumMod val="65000"/>
                </a:schemeClr>
              </a:solidFill>
              <a:latin typeface="Segoe UI" panose="020B0502040204020203" pitchFamily="34" charset="0"/>
              <a:cs typeface="Segoe UI" panose="020B0502040204020203" pitchFamily="34" charset="0"/>
            </a:rPr>
            <a:t>NET REVENUE</a:t>
          </a:r>
          <a:endParaRPr lang="en-US" sz="2200" b="1" i="0" u="none" strike="noStrike">
            <a:solidFill>
              <a:schemeClr val="bg1">
                <a:lumMod val="65000"/>
              </a:schemeClr>
            </a:solidFill>
            <a:latin typeface="Segoe UI" panose="020B0502040204020203" pitchFamily="34" charset="0"/>
            <a:cs typeface="Segoe UI" panose="020B0502040204020203" pitchFamily="34" charset="0"/>
          </a:endParaRPr>
        </a:p>
        <a:p>
          <a:pPr algn="l"/>
          <a:fld id="{7F32E6FF-A312-45A8-9E74-BD18875C63C4}" type="TxLink">
            <a:rPr lang="en-US" sz="2200" b="1" i="0" u="none" strike="noStrike">
              <a:solidFill>
                <a:srgbClr val="1F4E79"/>
              </a:solidFill>
              <a:latin typeface="Segoe UI" panose="020B0502040204020203" pitchFamily="34" charset="0"/>
              <a:cs typeface="Segoe UI" panose="020B0502040204020203" pitchFamily="34" charset="0"/>
            </a:rPr>
            <a:pPr algn="l"/>
            <a:t> ₹757,278.08 </a:t>
          </a:fld>
          <a:endParaRPr lang="en-US" sz="2200" b="1" i="0" u="none" strike="noStrike">
            <a:solidFill>
              <a:srgbClr val="1F4E79"/>
            </a:solidFill>
            <a:latin typeface="Segoe UI" panose="020B0502040204020203" pitchFamily="34" charset="0"/>
            <a:cs typeface="Segoe UI" panose="020B0502040204020203" pitchFamily="34" charset="0"/>
          </a:endParaRPr>
        </a:p>
        <a:p>
          <a:pPr algn="l"/>
          <a:endParaRPr lang="en-US" sz="900" b="1" i="0" u="none" strike="noStrike">
            <a:solidFill>
              <a:srgbClr val="1F4E79"/>
            </a:solidFill>
            <a:latin typeface="Segoe UI" panose="020B0502040204020203" pitchFamily="34" charset="0"/>
            <a:cs typeface="Segoe UI" panose="020B0502040204020203" pitchFamily="34" charset="0"/>
          </a:endParaRPr>
        </a:p>
        <a:p>
          <a:pPr algn="l"/>
          <a:r>
            <a:rPr lang="en-US" sz="900" b="1">
              <a:solidFill>
                <a:schemeClr val="bg1">
                  <a:lumMod val="50000"/>
                </a:schemeClr>
              </a:solidFill>
              <a:latin typeface="Segoe UI" panose="020B0502040204020203" pitchFamily="34" charset="0"/>
              <a:cs typeface="Segoe UI" panose="020B0502040204020203" pitchFamily="34" charset="0"/>
            </a:rPr>
            <a:t>TOTAL</a:t>
          </a:r>
          <a:r>
            <a:rPr lang="en-US" sz="900" b="1" baseline="0">
              <a:solidFill>
                <a:schemeClr val="bg1">
                  <a:lumMod val="50000"/>
                </a:schemeClr>
              </a:solidFill>
              <a:latin typeface="Segoe UI" panose="020B0502040204020203" pitchFamily="34" charset="0"/>
              <a:cs typeface="Segoe UI" panose="020B0502040204020203" pitchFamily="34" charset="0"/>
            </a:rPr>
            <a:t> AFTER DISCOUNT</a:t>
          </a:r>
          <a:endParaRPr lang="en-US" sz="1000" b="1">
            <a:solidFill>
              <a:schemeClr val="bg1">
                <a:lumMod val="50000"/>
              </a:schemeClr>
            </a:solidFill>
            <a:latin typeface="Segoe UI" panose="020B0502040204020203" pitchFamily="34" charset="0"/>
            <a:cs typeface="Segoe UI" panose="020B0502040204020203" pitchFamily="34" charset="0"/>
          </a:endParaRPr>
        </a:p>
      </xdr:txBody>
    </xdr:sp>
    <xdr:clientData/>
  </xdr:twoCellAnchor>
  <xdr:twoCellAnchor>
    <xdr:from>
      <xdr:col>2</xdr:col>
      <xdr:colOff>73785</xdr:colOff>
      <xdr:row>3</xdr:row>
      <xdr:rowOff>67077</xdr:rowOff>
    </xdr:from>
    <xdr:to>
      <xdr:col>4</xdr:col>
      <xdr:colOff>20123</xdr:colOff>
      <xdr:row>6</xdr:row>
      <xdr:rowOff>20125</xdr:rowOff>
    </xdr:to>
    <xdr:sp macro="" textlink="">
      <xdr:nvSpPr>
        <xdr:cNvPr id="3" name="Rectangle: Rounded Corners 2">
          <a:extLst>
            <a:ext uri="{FF2B5EF4-FFF2-40B4-BE49-F238E27FC236}">
              <a16:creationId xmlns:a16="http://schemas.microsoft.com/office/drawing/2014/main" id="{50B1DD2F-CD92-25B2-FBA7-FA28BFB438FD}"/>
            </a:ext>
          </a:extLst>
        </xdr:cNvPr>
        <xdr:cNvSpPr/>
      </xdr:nvSpPr>
      <xdr:spPr>
        <a:xfrm>
          <a:off x="1294595" y="711021"/>
          <a:ext cx="1167148" cy="516498"/>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107322</xdr:colOff>
      <xdr:row>1</xdr:row>
      <xdr:rowOff>11066</xdr:rowOff>
    </xdr:from>
    <xdr:to>
      <xdr:col>7</xdr:col>
      <xdr:colOff>0</xdr:colOff>
      <xdr:row>7</xdr:row>
      <xdr:rowOff>1</xdr:rowOff>
    </xdr:to>
    <xdr:sp macro="" textlink="">
      <xdr:nvSpPr>
        <xdr:cNvPr id="5" name="Rectangle: Rounded Corners 4">
          <a:extLst>
            <a:ext uri="{FF2B5EF4-FFF2-40B4-BE49-F238E27FC236}">
              <a16:creationId xmlns:a16="http://schemas.microsoft.com/office/drawing/2014/main" id="{B8C35E9C-3D82-CA83-6749-0C6C76C0B189}"/>
            </a:ext>
          </a:extLst>
        </xdr:cNvPr>
        <xdr:cNvSpPr/>
      </xdr:nvSpPr>
      <xdr:spPr>
        <a:xfrm>
          <a:off x="1938537" y="279376"/>
          <a:ext cx="2334298" cy="11158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chemeClr val="bg1">
                  <a:lumMod val="50000"/>
                </a:schemeClr>
              </a:solidFill>
              <a:latin typeface="Segoe UI" panose="020B0502040204020203" pitchFamily="34" charset="0"/>
              <a:cs typeface="Segoe UI" panose="020B0502040204020203" pitchFamily="34" charset="0"/>
            </a:rPr>
            <a:t> GROSS REVENUE</a:t>
          </a:r>
        </a:p>
        <a:p>
          <a:pPr algn="l"/>
          <a:r>
            <a:rPr lang="en-US" sz="2200" b="1">
              <a:solidFill>
                <a:srgbClr val="1F4E79"/>
              </a:solidFill>
              <a:latin typeface="Segoe UI" panose="020B0502040204020203" pitchFamily="34" charset="0"/>
              <a:cs typeface="Segoe UI" panose="020B0502040204020203" pitchFamily="34" charset="0"/>
            </a:rPr>
            <a:t>₹932,570.47</a:t>
          </a:r>
        </a:p>
        <a:p>
          <a:pPr algn="l"/>
          <a:r>
            <a:rPr lang="en-US" sz="2200" b="1">
              <a:solidFill>
                <a:srgbClr val="1F4E79"/>
              </a:solidFill>
              <a:latin typeface="Segoe UI" panose="020B0502040204020203" pitchFamily="34" charset="0"/>
              <a:cs typeface="Segoe UI" panose="020B0502040204020203" pitchFamily="34" charset="0"/>
            </a:rPr>
            <a:t> </a:t>
          </a:r>
        </a:p>
      </xdr:txBody>
    </xdr:sp>
    <xdr:clientData/>
  </xdr:twoCellAnchor>
  <xdr:twoCellAnchor>
    <xdr:from>
      <xdr:col>6</xdr:col>
      <xdr:colOff>241479</xdr:colOff>
      <xdr:row>1</xdr:row>
      <xdr:rowOff>13418</xdr:rowOff>
    </xdr:from>
    <xdr:to>
      <xdr:col>9</xdr:col>
      <xdr:colOff>610404</xdr:colOff>
      <xdr:row>7</xdr:row>
      <xdr:rowOff>0</xdr:rowOff>
    </xdr:to>
    <xdr:sp macro="" textlink="Pivot!F39">
      <xdr:nvSpPr>
        <xdr:cNvPr id="6" name="Rectangle: Rounded Corners 5">
          <a:extLst>
            <a:ext uri="{FF2B5EF4-FFF2-40B4-BE49-F238E27FC236}">
              <a16:creationId xmlns:a16="http://schemas.microsoft.com/office/drawing/2014/main" id="{E739D4CB-079F-2154-B622-DE2BA6ABE876}"/>
            </a:ext>
          </a:extLst>
        </xdr:cNvPr>
        <xdr:cNvSpPr/>
      </xdr:nvSpPr>
      <xdr:spPr>
        <a:xfrm>
          <a:off x="3903909" y="281728"/>
          <a:ext cx="2200139" cy="111348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i="0" u="none" strike="noStrike">
              <a:solidFill>
                <a:schemeClr val="bg1">
                  <a:lumMod val="50000"/>
                </a:schemeClr>
              </a:solidFill>
              <a:latin typeface="Segoe UI" panose="020B0502040204020203" pitchFamily="34" charset="0"/>
              <a:cs typeface="Segoe UI" panose="020B0502040204020203" pitchFamily="34" charset="0"/>
            </a:rPr>
            <a:t>TOTAL ORDERS</a:t>
          </a:r>
        </a:p>
        <a:p>
          <a:pPr algn="l"/>
          <a:endParaRPr lang="en-US" sz="200" b="1" i="0" u="none" strike="noStrike">
            <a:solidFill>
              <a:schemeClr val="bg1">
                <a:lumMod val="50000"/>
              </a:schemeClr>
            </a:solidFill>
            <a:latin typeface="Segoe UI" panose="020B0502040204020203" pitchFamily="34" charset="0"/>
            <a:cs typeface="Segoe UI" panose="020B0502040204020203" pitchFamily="34" charset="0"/>
          </a:endParaRPr>
        </a:p>
        <a:p>
          <a:pPr algn="l"/>
          <a:fld id="{F5CDDC84-E6EE-4C04-B07A-3EB55D9688FD}" type="TxLink">
            <a:rPr lang="en-US" sz="2200" b="1" i="0" u="none" strike="noStrike">
              <a:solidFill>
                <a:srgbClr val="1F4E79"/>
              </a:solidFill>
              <a:latin typeface="Segoe UI" panose="020B0502040204020203" pitchFamily="34" charset="0"/>
              <a:cs typeface="Segoe UI" panose="020B0502040204020203" pitchFamily="34" charset="0"/>
            </a:rPr>
            <a:pPr algn="l"/>
            <a:t>3660</a:t>
          </a:fld>
          <a:endParaRPr lang="en-US" sz="2200" b="1" i="0" u="none" strike="noStrike">
            <a:solidFill>
              <a:srgbClr val="1F4E79"/>
            </a:solidFill>
            <a:latin typeface="Segoe UI" panose="020B0502040204020203" pitchFamily="34" charset="0"/>
            <a:cs typeface="Segoe UI" panose="020B0502040204020203" pitchFamily="34" charset="0"/>
          </a:endParaRPr>
        </a:p>
        <a:p>
          <a:pPr algn="l"/>
          <a:endParaRPr lang="en-US" sz="300" b="1">
            <a:solidFill>
              <a:srgbClr val="1F4E79"/>
            </a:solidFill>
            <a:latin typeface="Segoe UI" panose="020B0502040204020203" pitchFamily="34" charset="0"/>
            <a:cs typeface="Segoe UI" panose="020B0502040204020203" pitchFamily="34" charset="0"/>
          </a:endParaRPr>
        </a:p>
        <a:p>
          <a:pPr algn="l"/>
          <a:r>
            <a:rPr lang="en-US" sz="900" b="1">
              <a:solidFill>
                <a:schemeClr val="bg1">
                  <a:lumMod val="50000"/>
                </a:schemeClr>
              </a:solidFill>
              <a:latin typeface="Segoe UI" panose="020B0502040204020203" pitchFamily="34" charset="0"/>
              <a:cs typeface="Segoe UI" panose="020B0502040204020203" pitchFamily="34" charset="0"/>
            </a:rPr>
            <a:t>COMPLETED TRANSACTION</a:t>
          </a:r>
        </a:p>
      </xdr:txBody>
    </xdr:sp>
    <xdr:clientData/>
  </xdr:twoCellAnchor>
  <xdr:twoCellAnchor>
    <xdr:from>
      <xdr:col>9</xdr:col>
      <xdr:colOff>228063</xdr:colOff>
      <xdr:row>1</xdr:row>
      <xdr:rowOff>6708</xdr:rowOff>
    </xdr:from>
    <xdr:to>
      <xdr:col>12</xdr:col>
      <xdr:colOff>516496</xdr:colOff>
      <xdr:row>7</xdr:row>
      <xdr:rowOff>6708</xdr:rowOff>
    </xdr:to>
    <xdr:sp macro="" textlink="Pivot!R15">
      <xdr:nvSpPr>
        <xdr:cNvPr id="7" name="Rectangle: Rounded Corners 6">
          <a:extLst>
            <a:ext uri="{FF2B5EF4-FFF2-40B4-BE49-F238E27FC236}">
              <a16:creationId xmlns:a16="http://schemas.microsoft.com/office/drawing/2014/main" id="{30F45746-6358-E2DD-C74A-68385C8EB620}"/>
            </a:ext>
          </a:extLst>
        </xdr:cNvPr>
        <xdr:cNvSpPr/>
      </xdr:nvSpPr>
      <xdr:spPr>
        <a:xfrm>
          <a:off x="5721707" y="275018"/>
          <a:ext cx="2119648" cy="11269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i="0" u="none" strike="noStrike">
              <a:solidFill>
                <a:schemeClr val="bg1">
                  <a:lumMod val="50000"/>
                </a:schemeClr>
              </a:solidFill>
              <a:latin typeface="Segoe UI" panose="020B0502040204020203" pitchFamily="34" charset="0"/>
              <a:cs typeface="Segoe UI" panose="020B0502040204020203" pitchFamily="34" charset="0"/>
            </a:rPr>
            <a:t>AVG DISCOUNT</a:t>
          </a:r>
          <a:endParaRPr lang="en-US" sz="1100" b="1" i="0" u="none" strike="noStrike">
            <a:solidFill>
              <a:schemeClr val="bg1">
                <a:lumMod val="50000"/>
              </a:schemeClr>
            </a:solidFill>
            <a:latin typeface="Segoe UI" panose="020B0502040204020203" pitchFamily="34" charset="0"/>
            <a:cs typeface="Segoe UI" panose="020B0502040204020203" pitchFamily="34" charset="0"/>
          </a:endParaRPr>
        </a:p>
        <a:p>
          <a:pPr algn="l"/>
          <a:endParaRPr lang="en-US" sz="200" b="0" i="0" u="none" strike="noStrike">
            <a:solidFill>
              <a:srgbClr val="000000"/>
            </a:solidFill>
            <a:latin typeface="Aptos Narrow"/>
          </a:endParaRPr>
        </a:p>
        <a:p>
          <a:pPr algn="l"/>
          <a:fld id="{44D43F40-3B18-437F-935B-E96F17A1F806}" type="TxLink">
            <a:rPr lang="en-US" sz="2200" b="1" i="0" u="none" strike="noStrike">
              <a:solidFill>
                <a:srgbClr val="1F4E79"/>
              </a:solidFill>
              <a:latin typeface="Segoe UI" panose="020B0502040204020203" pitchFamily="34" charset="0"/>
              <a:cs typeface="Segoe UI" panose="020B0502040204020203" pitchFamily="34" charset="0"/>
            </a:rPr>
            <a:pPr algn="l"/>
            <a:t>18.83%</a:t>
          </a:fld>
          <a:endParaRPr lang="en-US" sz="2200" b="1" i="0" u="none" strike="noStrike">
            <a:solidFill>
              <a:srgbClr val="1F4E79"/>
            </a:solidFill>
            <a:latin typeface="Segoe UI" panose="020B0502040204020203" pitchFamily="34" charset="0"/>
            <a:cs typeface="Segoe UI" panose="020B0502040204020203" pitchFamily="34" charset="0"/>
          </a:endParaRPr>
        </a:p>
        <a:p>
          <a:pPr algn="l"/>
          <a:endParaRPr lang="en-US" sz="400" b="1" i="0" u="none" strike="noStrike">
            <a:solidFill>
              <a:srgbClr val="1F4E79"/>
            </a:solidFill>
            <a:latin typeface="Segoe UI" panose="020B0502040204020203" pitchFamily="34" charset="0"/>
            <a:cs typeface="Segoe UI" panose="020B0502040204020203" pitchFamily="34" charset="0"/>
          </a:endParaRPr>
        </a:p>
        <a:p>
          <a:pPr algn="l"/>
          <a:r>
            <a:rPr lang="en-US" sz="900" b="1">
              <a:solidFill>
                <a:schemeClr val="bg1">
                  <a:lumMod val="50000"/>
                </a:schemeClr>
              </a:solidFill>
              <a:latin typeface="Segoe UI" panose="020B0502040204020203" pitchFamily="34" charset="0"/>
              <a:cs typeface="Segoe UI" panose="020B0502040204020203" pitchFamily="34" charset="0"/>
            </a:rPr>
            <a:t>ACROSS ALL CATEGORIES</a:t>
          </a:r>
        </a:p>
      </xdr:txBody>
    </xdr:sp>
    <xdr:clientData/>
  </xdr:twoCellAnchor>
  <xdr:twoCellAnchor>
    <xdr:from>
      <xdr:col>3</xdr:col>
      <xdr:colOff>194527</xdr:colOff>
      <xdr:row>4</xdr:row>
      <xdr:rowOff>174400</xdr:rowOff>
    </xdr:from>
    <xdr:to>
      <xdr:col>5</xdr:col>
      <xdr:colOff>603698</xdr:colOff>
      <xdr:row>6</xdr:row>
      <xdr:rowOff>114032</xdr:rowOff>
    </xdr:to>
    <xdr:sp macro="" textlink="Pivot!D15">
      <xdr:nvSpPr>
        <xdr:cNvPr id="4" name="TextBox 3">
          <a:extLst>
            <a:ext uri="{FF2B5EF4-FFF2-40B4-BE49-F238E27FC236}">
              <a16:creationId xmlns:a16="http://schemas.microsoft.com/office/drawing/2014/main" id="{D813E973-36D6-B5A1-E5A1-4BA24D9FA299}"/>
            </a:ext>
          </a:extLst>
        </xdr:cNvPr>
        <xdr:cNvSpPr txBox="1"/>
      </xdr:nvSpPr>
      <xdr:spPr>
        <a:xfrm>
          <a:off x="2025742" y="1006161"/>
          <a:ext cx="1629981" cy="315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i="0" u="none" strike="noStrike">
              <a:solidFill>
                <a:schemeClr val="bg1">
                  <a:lumMod val="50000"/>
                </a:schemeClr>
              </a:solidFill>
              <a:latin typeface="Segoe UI" panose="020B0502040204020203" pitchFamily="34" charset="0"/>
              <a:cs typeface="Segoe UI" panose="020B0502040204020203" pitchFamily="34" charset="0"/>
            </a:rPr>
            <a:t>DISCOUNT:</a:t>
          </a:r>
          <a:r>
            <a:rPr lang="en-US" sz="900" b="1" i="0" u="none" strike="noStrike">
              <a:solidFill>
                <a:srgbClr val="000000"/>
              </a:solidFill>
              <a:latin typeface="Segoe UI" panose="020B0502040204020203" pitchFamily="34" charset="0"/>
              <a:cs typeface="Segoe UI" panose="020B0502040204020203" pitchFamily="34" charset="0"/>
            </a:rPr>
            <a:t> </a:t>
          </a:r>
          <a:fld id="{5B7A6320-D15B-43FA-AE61-D1A427BC5C5B}" type="TxLink">
            <a:rPr lang="en-US" sz="900" b="1" i="0" u="none" strike="noStrike">
              <a:solidFill>
                <a:schemeClr val="bg1">
                  <a:lumMod val="50000"/>
                </a:schemeClr>
              </a:solidFill>
              <a:latin typeface="Segoe UI" panose="020B0502040204020203" pitchFamily="34" charset="0"/>
              <a:cs typeface="Segoe UI" panose="020B0502040204020203" pitchFamily="34" charset="0"/>
            </a:rPr>
            <a:pPr/>
            <a:t> ₹175,292.39 </a:t>
          </a:fld>
          <a:endParaRPr lang="en-US" sz="900" b="1">
            <a:solidFill>
              <a:schemeClr val="bg1">
                <a:lumMod val="50000"/>
              </a:schemeClr>
            </a:solidFill>
            <a:latin typeface="Segoe UI" panose="020B0502040204020203" pitchFamily="34" charset="0"/>
            <a:cs typeface="Segoe UI" panose="020B0502040204020203" pitchFamily="34" charset="0"/>
          </a:endParaRPr>
        </a:p>
      </xdr:txBody>
    </xdr:sp>
    <xdr:clientData/>
  </xdr:twoCellAnchor>
  <xdr:twoCellAnchor>
    <xdr:from>
      <xdr:col>0</xdr:col>
      <xdr:colOff>64930</xdr:colOff>
      <xdr:row>8</xdr:row>
      <xdr:rowOff>75462</xdr:rowOff>
    </xdr:from>
    <xdr:to>
      <xdr:col>6</xdr:col>
      <xdr:colOff>419100</xdr:colOff>
      <xdr:row>20</xdr:row>
      <xdr:rowOff>20123</xdr:rowOff>
    </xdr:to>
    <xdr:graphicFrame macro="">
      <xdr:nvGraphicFramePr>
        <xdr:cNvPr id="8" name="Chart 4">
          <a:extLst>
            <a:ext uri="{FF2B5EF4-FFF2-40B4-BE49-F238E27FC236}">
              <a16:creationId xmlns:a16="http://schemas.microsoft.com/office/drawing/2014/main" id="{0B0C343E-0C94-873D-252F-F38191FA9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425271</xdr:colOff>
      <xdr:row>8</xdr:row>
      <xdr:rowOff>84384</xdr:rowOff>
    </xdr:from>
    <xdr:to>
      <xdr:col>13</xdr:col>
      <xdr:colOff>466725</xdr:colOff>
      <xdr:row>20</xdr:row>
      <xdr:rowOff>9190</xdr:rowOff>
    </xdr:to>
    <xdr:graphicFrame macro="">
      <xdr:nvGraphicFramePr>
        <xdr:cNvPr id="9" name="Chart 5">
          <a:extLst>
            <a:ext uri="{FF2B5EF4-FFF2-40B4-BE49-F238E27FC236}">
              <a16:creationId xmlns:a16="http://schemas.microsoft.com/office/drawing/2014/main" id="{DFC7B869-D5F3-E29A-7791-F67DA49C52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8505</xdr:colOff>
      <xdr:row>19</xdr:row>
      <xdr:rowOff>186709</xdr:rowOff>
    </xdr:from>
    <xdr:to>
      <xdr:col>6</xdr:col>
      <xdr:colOff>232050</xdr:colOff>
      <xdr:row>34</xdr:row>
      <xdr:rowOff>113374</xdr:rowOff>
    </xdr:to>
    <xdr:graphicFrame macro="">
      <xdr:nvGraphicFramePr>
        <xdr:cNvPr id="10" name="Chart 6">
          <a:extLst>
            <a:ext uri="{FF2B5EF4-FFF2-40B4-BE49-F238E27FC236}">
              <a16:creationId xmlns:a16="http://schemas.microsoft.com/office/drawing/2014/main" id="{EACC9A43-E5AC-121D-E3A4-84640614D0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595993</xdr:colOff>
      <xdr:row>18</xdr:row>
      <xdr:rowOff>143215</xdr:rowOff>
    </xdr:from>
    <xdr:to>
      <xdr:col>16</xdr:col>
      <xdr:colOff>587829</xdr:colOff>
      <xdr:row>31</xdr:row>
      <xdr:rowOff>101713</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FA5BCDBD-3348-412F-81A1-264A663B49F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520793" y="3867490"/>
              <a:ext cx="1820636" cy="24349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599054</xdr:colOff>
      <xdr:row>8</xdr:row>
      <xdr:rowOff>147637</xdr:rowOff>
    </xdr:from>
    <xdr:to>
      <xdr:col>16</xdr:col>
      <xdr:colOff>590890</xdr:colOff>
      <xdr:row>18</xdr:row>
      <xdr:rowOff>85725</xdr:rowOff>
    </xdr:to>
    <mc:AlternateContent xmlns:mc="http://schemas.openxmlformats.org/markup-compatibility/2006">
      <mc:Choice xmlns:a14="http://schemas.microsoft.com/office/drawing/2010/main" Requires="a14">
        <xdr:graphicFrame macro="">
          <xdr:nvGraphicFramePr>
            <xdr:cNvPr id="12" name="Payment_Method">
              <a:extLst>
                <a:ext uri="{FF2B5EF4-FFF2-40B4-BE49-F238E27FC236}">
                  <a16:creationId xmlns:a16="http://schemas.microsoft.com/office/drawing/2014/main" id="{E7496B37-AD26-43A6-B879-48301B97653A}"/>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8523854" y="1966912"/>
              <a:ext cx="1820636" cy="1843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48647</xdr:colOff>
      <xdr:row>1</xdr:row>
      <xdr:rowOff>3401</xdr:rowOff>
    </xdr:from>
    <xdr:to>
      <xdr:col>17</xdr:col>
      <xdr:colOff>0</xdr:colOff>
      <xdr:row>8</xdr:row>
      <xdr:rowOff>65313</xdr:rowOff>
    </xdr:to>
    <mc:AlternateContent xmlns:mc="http://schemas.openxmlformats.org/markup-compatibility/2006">
      <mc:Choice xmlns:tsle="http://schemas.microsoft.com/office/drawing/2012/timeslicer" Requires="tsle">
        <xdr:graphicFrame macro="">
          <xdr:nvGraphicFramePr>
            <xdr:cNvPr id="13" name="Purchase_Date">
              <a:extLst>
                <a:ext uri="{FF2B5EF4-FFF2-40B4-BE49-F238E27FC236}">
                  <a16:creationId xmlns:a16="http://schemas.microsoft.com/office/drawing/2014/main" id="{6EE4386E-1951-498D-9807-5B9FD3B122CB}"/>
                </a:ext>
              </a:extLst>
            </xdr:cNvPr>
            <xdr:cNvGraphicFramePr/>
          </xdr:nvGraphicFramePr>
          <xdr:xfrm>
            <a:off x="0" y="0"/>
            <a:ext cx="0" cy="0"/>
          </xdr:xfrm>
          <a:graphic>
            <a:graphicData uri="http://schemas.microsoft.com/office/drawing/2012/timeslicer">
              <tsle:timeslicer xmlns:tsle="http://schemas.microsoft.com/office/drawing/2012/timeslicer" name="Purchase_Date"/>
            </a:graphicData>
          </a:graphic>
        </xdr:graphicFrame>
      </mc:Choice>
      <mc:Fallback>
        <xdr:sp macro="" textlink="">
          <xdr:nvSpPr>
            <xdr:cNvPr id="0" name=""/>
            <xdr:cNvSpPr>
              <a:spLocks noTextEdit="1"/>
            </xdr:cNvSpPr>
          </xdr:nvSpPr>
          <xdr:spPr>
            <a:xfrm>
              <a:off x="7363847" y="489176"/>
              <a:ext cx="2999353" cy="139541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6</xdr:col>
      <xdr:colOff>238465</xdr:colOff>
      <xdr:row>20</xdr:row>
      <xdr:rowOff>30276</xdr:rowOff>
    </xdr:from>
    <xdr:to>
      <xdr:col>13</xdr:col>
      <xdr:colOff>524215</xdr:colOff>
      <xdr:row>34</xdr:row>
      <xdr:rowOff>123825</xdr:rowOff>
    </xdr:to>
    <xdr:graphicFrame macro="">
      <xdr:nvGraphicFramePr>
        <xdr:cNvPr id="14" name="Chart 7">
          <a:extLst>
            <a:ext uri="{FF2B5EF4-FFF2-40B4-BE49-F238E27FC236}">
              <a16:creationId xmlns:a16="http://schemas.microsoft.com/office/drawing/2014/main" id="{972307AE-2117-C8EA-16C2-70D425E88E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0.702180439817" backgroundQuery="1" createdVersion="8" refreshedVersion="8" minRefreshableVersion="3" recordCount="0" supportSubquery="1" supportAdvancedDrill="1" xr:uid="{10D6B81A-F46E-4C18-AC7F-C3542AE24FAC}">
  <cacheSource type="external" connectionId="2"/>
  <cacheFields count="3">
    <cacheField name="[SalesData].[Category].[Category]" caption="Category" numFmtId="0" hierarchy="2" level="1">
      <sharedItems count="7">
        <s v="Beauty"/>
        <s v="Books"/>
        <s v="Clothing"/>
        <s v="Electronics"/>
        <s v="Home &amp; Kitchen"/>
        <s v="Sports"/>
        <s v="Toys"/>
      </sharedItems>
    </cacheField>
    <cacheField name="[Measures].[Total Net Revenue]" caption="Total Net Revenue" numFmtId="0" hierarchy="10" level="32767"/>
    <cacheField name="[Measures].[Amount Lost to Discounts]" caption="Amount Lost to Discounts" numFmtId="0" hierarchy="12" level="32767"/>
  </cacheFields>
  <cacheHierarchies count="17">
    <cacheHierarchy uniqueName="[SalesData].[User_ID]" caption="User_ID" attribute="1" defaultMemberUniqueName="[SalesData].[User_ID].[All]" allUniqueName="[SalesData].[User_ID].[All]" dimensionUniqueName="[SalesData]" displayFolder="" count="2" memberValueDatatype="130" unbalanced="0"/>
    <cacheHierarchy uniqueName="[SalesData].[Product_ID]" caption="Product_ID" attribute="1" defaultMemberUniqueName="[SalesData].[Product_ID].[All]" allUniqueName="[SalesData].[Product_ID].[All]" dimensionUniqueName="[SalesData]" displayFolder="" count="2"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0"/>
      </fieldsUsage>
    </cacheHierarchy>
    <cacheHierarchy uniqueName="[SalesData].[Price (Rs.)]" caption="Price (Rs.)" attribute="1" defaultMemberUniqueName="[SalesData].[Price (Rs.)].[All]" allUniqueName="[SalesData].[Price (Rs.)].[All]" dimensionUniqueName="[SalesData]" displayFolder="" count="2" memberValueDatatype="5" unbalanced="0"/>
    <cacheHierarchy uniqueName="[SalesData].[Discount (%)]" caption="Discount (%)" attribute="1" defaultMemberUniqueName="[SalesData].[Discount (%)].[All]" allUniqueName="[SalesData].[Discount (%)].[All]" dimensionUniqueName="[SalesData]" displayFolder="" count="2" memberValueDatatype="20" unbalanced="0"/>
    <cacheHierarchy uniqueName="[SalesData].[Final_Price(Rs.)]" caption="Final_Price(Rs.)" attribute="1" defaultMemberUniqueName="[SalesData].[Final_Price(Rs.)].[All]" allUniqueName="[SalesData].[Final_Price(Rs.)].[All]" dimensionUniqueName="[SalesData]" displayFolder="" count="2" memberValueDatatype="5" unbalanced="0"/>
    <cacheHierarchy uniqueName="[SalesData].[Payment_Method]" caption="Payment_Method" attribute="1" defaultMemberUniqueName="[SalesData].[Payment_Method].[All]" allUniqueName="[SalesData].[Payment_Method].[All]" dimensionUniqueName="[SalesData]" displayFolder="" count="2" memberValueDatatype="130" unbalanced="0"/>
    <cacheHierarchy uniqueName="[SalesData].[Purchase_Date]" caption="Purchase_Date" attribute="1" time="1" defaultMemberUniqueName="[SalesData].[Purchase_Date].[All]" allUniqueName="[SalesData].[Purchase_Date].[All]" dimensionUniqueName="[SalesData]" displayFolder="" count="2" memberValueDatatype="7" unbalanced="0"/>
    <cacheHierarchy uniqueName="[SalesData].[Purchase_Date (Month)]" caption="Purchase_Date (Month)" attribute="1" defaultMemberUniqueName="[SalesData].[Purchase_Date (Month)].[All]" allUniqueName="[SalesData].[Purchase_Date (Month)].[All]" dimensionUniqueName="[SalesData]" displayFolder="" count="2" memberValueDatatype="130" unbalanced="0"/>
    <cacheHierarchy uniqueName="[SalesData].[Purchase_Date (Month Index)]" caption="Purchase_Date (Month Index)" attribute="1" defaultMemberUniqueName="[SalesData].[Purchase_Date (Month Index)].[All]" allUniqueName="[SalesData].[Purchase_Date (Month Index)].[All]" dimensionUniqueName="[SalesData]" displayFolder="" count="2" memberValueDatatype="20" unbalanced="0" hidden="1"/>
    <cacheHierarchy uniqueName="[Measures].[Total Net Revenue]" caption="Total Net Revenue" measure="1" displayFolder="" measureGroup="SalesData" count="0" oneField="1">
      <fieldsUsage count="1">
        <fieldUsage x="1"/>
      </fieldsUsage>
    </cacheHierarchy>
    <cacheHierarchy uniqueName="[Measures].[Total Gross Revenue (Before Discounts)]" caption="Total Gross Revenue (Before Discounts)" measure="1" displayFolder="" measureGroup="SalesData" count="0"/>
    <cacheHierarchy uniqueName="[Measures].[Amount Lost to Discounts]" caption="Amount Lost to Discounts" measure="1" displayFolder="" measureGroup="SalesData" count="0" oneField="1">
      <fieldsUsage count="1">
        <fieldUsage x="2"/>
      </fieldsUsage>
    </cacheHierarchy>
    <cacheHierarchy uniqueName="[Measures].[Total Order Volume]" caption="Total Order Volume" measure="1" displayFolder="" measureGroup="SalesData" count="0"/>
    <cacheHierarchy uniqueName="[Measures].[Average Discount Given]" caption="Average Discount Given"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0.702181250002" backgroundQuery="1" createdVersion="8" refreshedVersion="8" minRefreshableVersion="3" recordCount="0" supportSubquery="1" supportAdvancedDrill="1" xr:uid="{69FD6F6C-127C-46FB-BFC5-F4F05852A687}">
  <cacheSource type="external" connectionId="2"/>
  <cacheFields count="4">
    <cacheField name="[SalesData].[Payment_Method].[Payment_Method]" caption="Payment_Method" numFmtId="0" hierarchy="6" level="1">
      <sharedItems count="5">
        <s v="Cash on Delivery"/>
        <s v="Credit Card"/>
        <s v="Debit Card"/>
        <s v="Net Banking"/>
        <s v="UPI"/>
      </sharedItems>
    </cacheField>
    <cacheField name="[Measures].[Total Net Revenue]" caption="Total Net Revenue" numFmtId="0" hierarchy="10" level="32767"/>
    <cacheField name="[Measures].[Total Order Volume]" caption="Total Order Volume" numFmtId="0" hierarchy="13" level="32767"/>
    <cacheField name="[SalesData].[Category].[Category]" caption="Category" numFmtId="0" hierarchy="2" level="1">
      <sharedItems containsSemiMixedTypes="0" containsNonDate="0" containsString="0"/>
    </cacheField>
  </cacheFields>
  <cacheHierarchies count="17">
    <cacheHierarchy uniqueName="[SalesData].[User_ID]" caption="User_ID" attribute="1" defaultMemberUniqueName="[SalesData].[User_ID].[All]" allUniqueName="[SalesData].[User_ID].[All]" dimensionUniqueName="[SalesData]" displayFolder="" count="2" memberValueDatatype="130" unbalanced="0"/>
    <cacheHierarchy uniqueName="[SalesData].[Product_ID]" caption="Product_ID" attribute="1" defaultMemberUniqueName="[SalesData].[Product_ID].[All]" allUniqueName="[SalesData].[Product_ID].[All]" dimensionUniqueName="[SalesData]" displayFolder="" count="2"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3"/>
      </fieldsUsage>
    </cacheHierarchy>
    <cacheHierarchy uniqueName="[SalesData].[Price (Rs.)]" caption="Price (Rs.)" attribute="1" defaultMemberUniqueName="[SalesData].[Price (Rs.)].[All]" allUniqueName="[SalesData].[Price (Rs.)].[All]" dimensionUniqueName="[SalesData]" displayFolder="" count="2" memberValueDatatype="5" unbalanced="0"/>
    <cacheHierarchy uniqueName="[SalesData].[Discount (%)]" caption="Discount (%)" attribute="1" defaultMemberUniqueName="[SalesData].[Discount (%)].[All]" allUniqueName="[SalesData].[Discount (%)].[All]" dimensionUniqueName="[SalesData]" displayFolder="" count="2" memberValueDatatype="20" unbalanced="0"/>
    <cacheHierarchy uniqueName="[SalesData].[Final_Price(Rs.)]" caption="Final_Price(Rs.)" attribute="1" defaultMemberUniqueName="[SalesData].[Final_Price(Rs.)].[All]" allUniqueName="[SalesData].[Final_Price(Rs.)].[All]" dimensionUniqueName="[SalesData]" displayFolder="" count="2" memberValueDatatype="5" unbalanced="0"/>
    <cacheHierarchy uniqueName="[SalesData].[Payment_Method]" caption="Payment_Method" attribute="1" defaultMemberUniqueName="[SalesData].[Payment_Method].[All]" allUniqueName="[SalesData].[Payment_Method].[All]" dimensionUniqueName="[SalesData]" displayFolder="" count="2" memberValueDatatype="130" unbalanced="0">
      <fieldsUsage count="2">
        <fieldUsage x="-1"/>
        <fieldUsage x="0"/>
      </fieldsUsage>
    </cacheHierarchy>
    <cacheHierarchy uniqueName="[SalesData].[Purchase_Date]" caption="Purchase_Date" attribute="1" time="1" defaultMemberUniqueName="[SalesData].[Purchase_Date].[All]" allUniqueName="[SalesData].[Purchase_Date].[All]" dimensionUniqueName="[SalesData]" displayFolder="" count="2" memberValueDatatype="7" unbalanced="0"/>
    <cacheHierarchy uniqueName="[SalesData].[Purchase_Date (Month)]" caption="Purchase_Date (Month)" attribute="1" defaultMemberUniqueName="[SalesData].[Purchase_Date (Month)].[All]" allUniqueName="[SalesData].[Purchase_Date (Month)].[All]" dimensionUniqueName="[SalesData]" displayFolder="" count="2" memberValueDatatype="130" unbalanced="0"/>
    <cacheHierarchy uniqueName="[SalesData].[Purchase_Date (Month Index)]" caption="Purchase_Date (Month Index)" attribute="1" defaultMemberUniqueName="[SalesData].[Purchase_Date (Month Index)].[All]" allUniqueName="[SalesData].[Purchase_Date (Month Index)].[All]" dimensionUniqueName="[SalesData]" displayFolder="" count="2" memberValueDatatype="20" unbalanced="0" hidden="1"/>
    <cacheHierarchy uniqueName="[Measures].[Total Net Revenue]" caption="Total Net Revenue" measure="1" displayFolder="" measureGroup="SalesData" count="0" oneField="1">
      <fieldsUsage count="1">
        <fieldUsage x="1"/>
      </fieldsUsage>
    </cacheHierarchy>
    <cacheHierarchy uniqueName="[Measures].[Total Gross Revenue (Before Discounts)]" caption="Total Gross Revenue (Before Discounts)" measure="1" displayFolder="" measureGroup="SalesData" count="0"/>
    <cacheHierarchy uniqueName="[Measures].[Amount Lost to Discounts]" caption="Amount Lost to Discounts" measure="1" displayFolder="" measureGroup="SalesData" count="0"/>
    <cacheHierarchy uniqueName="[Measures].[Total Order Volume]" caption="Total Order Volume" measure="1" displayFolder="" measureGroup="SalesData" count="0" oneField="1">
      <fieldsUsage count="1">
        <fieldUsage x="2"/>
      </fieldsUsage>
    </cacheHierarchy>
    <cacheHierarchy uniqueName="[Measures].[Average Discount Given]" caption="Average Discount Given"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0.702181944442" backgroundQuery="1" createdVersion="8" refreshedVersion="8" minRefreshableVersion="3" recordCount="0" supportSubquery="1" supportAdvancedDrill="1" xr:uid="{B23691C9-5A47-4EBF-BDC0-C8A5A85F603F}">
  <cacheSource type="external" connectionId="2"/>
  <cacheFields count="4">
    <cacheField name="[SalesData].[Purchase_Date].[Purchase_Date]" caption="Purchase_Date" numFmtId="0" hierarchy="7" level="1">
      <sharedItems containsSemiMixedTypes="0" containsNonDate="0" containsDate="1" containsString="0" minDate="2024-01-01T00:00:00" maxDate="2024-02-01T00:00:00" count="3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SalesData].[Purchase_Date (Month)].[Purchase_Date (Month)]" caption="Purchase_Date (Month)" numFmtId="0" hierarchy="8" level="1">
      <sharedItems count="11">
        <s v="Jan"/>
        <s v="Feb"/>
        <s v="Mar"/>
        <s v="Apr"/>
        <s v="May"/>
        <s v="Jun"/>
        <s v="Jul"/>
        <s v="Aug"/>
        <s v="Sep"/>
        <s v="Oct"/>
        <s v="Nov"/>
      </sharedItems>
    </cacheField>
    <cacheField name="[Measures].[Total Net Revenue]" caption="Total Net Revenue" numFmtId="0" hierarchy="10" level="32767"/>
    <cacheField name="[SalesData].[Category].[Category]" caption="Category" numFmtId="0" hierarchy="2" level="1">
      <sharedItems containsSemiMixedTypes="0" containsNonDate="0" containsString="0"/>
    </cacheField>
  </cacheFields>
  <cacheHierarchies count="17">
    <cacheHierarchy uniqueName="[SalesData].[User_ID]" caption="User_ID" attribute="1" defaultMemberUniqueName="[SalesData].[User_ID].[All]" allUniqueName="[SalesData].[User_ID].[All]" dimensionUniqueName="[SalesData]" displayFolder="" count="0" memberValueDatatype="130" unbalanced="0"/>
    <cacheHierarchy uniqueName="[SalesData].[Product_ID]" caption="Product_ID" attribute="1" defaultMemberUniqueName="[SalesData].[Product_ID].[All]" allUniqueName="[SalesData].[Product_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3"/>
      </fieldsUsage>
    </cacheHierarchy>
    <cacheHierarchy uniqueName="[SalesData].[Price (Rs.)]" caption="Price (Rs.)" attribute="1" defaultMemberUniqueName="[SalesData].[Price (Rs.)].[All]" allUniqueName="[SalesData].[Price (Rs.)].[All]" dimensionUniqueName="[SalesData]" displayFolder="" count="0" memberValueDatatype="5" unbalanced="0"/>
    <cacheHierarchy uniqueName="[SalesData].[Discount (%)]" caption="Discount (%)" attribute="1" defaultMemberUniqueName="[SalesData].[Discount (%)].[All]" allUniqueName="[SalesData].[Discount (%)].[All]" dimensionUniqueName="[SalesData]" displayFolder="" count="0" memberValueDatatype="20" unbalanced="0"/>
    <cacheHierarchy uniqueName="[SalesData].[Final_Price(Rs.)]" caption="Final_Price(Rs.)" attribute="1" defaultMemberUniqueName="[SalesData].[Final_Price(Rs.)].[All]" allUniqueName="[SalesData].[Final_Price(Rs.)].[All]" dimensionUniqueName="[SalesData]" displayFolder="" count="0" memberValueDatatype="5" unbalanced="0"/>
    <cacheHierarchy uniqueName="[SalesData].[Payment_Method]" caption="Payment_Method" attribute="1" defaultMemberUniqueName="[SalesData].[Payment_Method].[All]" allUniqueName="[SalesData].[Payment_Method].[All]" dimensionUniqueName="[SalesData]" displayFolder="" count="2" memberValueDatatype="130" unbalanced="0"/>
    <cacheHierarchy uniqueName="[SalesData].[Purchase_Date]" caption="Purchase_Date" attribute="1" time="1" defaultMemberUniqueName="[SalesData].[Purchase_Date].[All]" allUniqueName="[SalesData].[Purchase_Date].[All]" dimensionUniqueName="[SalesData]" displayFolder="" count="2" memberValueDatatype="7" unbalanced="0">
      <fieldsUsage count="2">
        <fieldUsage x="-1"/>
        <fieldUsage x="0"/>
      </fieldsUsage>
    </cacheHierarchy>
    <cacheHierarchy uniqueName="[SalesData].[Purchase_Date (Month)]" caption="Purchase_Date (Month)" attribute="1" defaultMemberUniqueName="[SalesData].[Purchase_Date (Month)].[All]" allUniqueName="[SalesData].[Purchase_Date (Month)].[All]" dimensionUniqueName="[SalesData]" displayFolder="" count="2" memberValueDatatype="130" unbalanced="0">
      <fieldsUsage count="2">
        <fieldUsage x="-1"/>
        <fieldUsage x="1"/>
      </fieldsUsage>
    </cacheHierarchy>
    <cacheHierarchy uniqueName="[SalesData].[Purchase_Date (Month Index)]" caption="Purchase_Date (Month Index)" attribute="1" defaultMemberUniqueName="[SalesData].[Purchase_Date (Month Index)].[All]" allUniqueName="[SalesData].[Purchase_Date (Month Index)].[All]" dimensionUniqueName="[SalesData]" displayFolder="" count="0" memberValueDatatype="20" unbalanced="0" hidden="1"/>
    <cacheHierarchy uniqueName="[Measures].[Total Net Revenue]" caption="Total Net Revenue" measure="1" displayFolder="" measureGroup="SalesData" count="0" oneField="1">
      <fieldsUsage count="1">
        <fieldUsage x="2"/>
      </fieldsUsage>
    </cacheHierarchy>
    <cacheHierarchy uniqueName="[Measures].[Total Gross Revenue (Before Discounts)]" caption="Total Gross Revenue (Before Discounts)" measure="1" displayFolder="" measureGroup="SalesData" count="0"/>
    <cacheHierarchy uniqueName="[Measures].[Amount Lost to Discounts]" caption="Amount Lost to Discounts" measure="1" displayFolder="" measureGroup="SalesData" count="0"/>
    <cacheHierarchy uniqueName="[Measures].[Total Order Volume]" caption="Total Order Volume" measure="1" displayFolder="" measureGroup="SalesData" count="0"/>
    <cacheHierarchy uniqueName="[Measures].[Average Discount Given]" caption="Average Discount Given"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0.702184027781" backgroundQuery="1" createdVersion="8" refreshedVersion="8" minRefreshableVersion="3" recordCount="0" supportSubquery="1" supportAdvancedDrill="1" xr:uid="{B508AEB1-BF03-4753-AE51-5375DF3A0A4A}">
  <cacheSource type="external" connectionId="2"/>
  <cacheFields count="3">
    <cacheField name="[SalesData].[Product_ID].[Product_ID]" caption="Product_ID" numFmtId="0" hierarchy="1" level="1">
      <sharedItems count="10">
        <s v="128bb94a-4"/>
        <s v="28714133-6"/>
        <s v="2a8fff8b-4"/>
        <s v="3be497cb-0"/>
        <s v="475d4cf1-c"/>
        <s v="585b0773-2"/>
        <s v="5a4c2797-7"/>
        <s v="6390f2ea-8"/>
        <s v="67d7c91c-b"/>
        <s v="e88dc97f-5"/>
      </sharedItems>
    </cacheField>
    <cacheField name="[Measures].[Total Net Revenue]" caption="Total Net Revenue" numFmtId="0" hierarchy="10" level="32767"/>
    <cacheField name="[SalesData].[Category].[Category]" caption="Category" numFmtId="0" hierarchy="2" level="1">
      <sharedItems containsSemiMixedTypes="0" containsNonDate="0" containsString="0"/>
    </cacheField>
  </cacheFields>
  <cacheHierarchies count="17">
    <cacheHierarchy uniqueName="[SalesData].[User_ID]" caption="User_ID" attribute="1" defaultMemberUniqueName="[SalesData].[User_ID].[All]" allUniqueName="[SalesData].[User_ID].[All]" dimensionUniqueName="[SalesData]" displayFolder="" count="0" memberValueDatatype="130" unbalanced="0"/>
    <cacheHierarchy uniqueName="[SalesData].[Product_ID]" caption="Product_ID" attribute="1" defaultMemberUniqueName="[SalesData].[Product_ID].[All]" allUniqueName="[SalesData].[Product_ID].[All]" dimensionUniqueName="[SalesData]" displayFolder="" count="2" memberValueDatatype="130" unbalanced="0">
      <fieldsUsage count="2">
        <fieldUsage x="-1"/>
        <fieldUsage x="0"/>
      </fieldsUsage>
    </cacheHierarchy>
    <cacheHierarchy uniqueName="[SalesData].[Category]" caption="Category" attribute="1" defaultMemberUniqueName="[SalesData].[Category].[All]" allUniqueName="[SalesData].[Category].[All]" dimensionUniqueName="[SalesData]" displayFolder="" count="2" memberValueDatatype="130" unbalanced="0">
      <fieldsUsage count="2">
        <fieldUsage x="-1"/>
        <fieldUsage x="2"/>
      </fieldsUsage>
    </cacheHierarchy>
    <cacheHierarchy uniqueName="[SalesData].[Price (Rs.)]" caption="Price (Rs.)" attribute="1" defaultMemberUniqueName="[SalesData].[Price (Rs.)].[All]" allUniqueName="[SalesData].[Price (Rs.)].[All]" dimensionUniqueName="[SalesData]" displayFolder="" count="0" memberValueDatatype="5" unbalanced="0"/>
    <cacheHierarchy uniqueName="[SalesData].[Discount (%)]" caption="Discount (%)" attribute="1" defaultMemberUniqueName="[SalesData].[Discount (%)].[All]" allUniqueName="[SalesData].[Discount (%)].[All]" dimensionUniqueName="[SalesData]" displayFolder="" count="0" memberValueDatatype="20" unbalanced="0"/>
    <cacheHierarchy uniqueName="[SalesData].[Final_Price(Rs.)]" caption="Final_Price(Rs.)" attribute="1" defaultMemberUniqueName="[SalesData].[Final_Price(Rs.)].[All]" allUniqueName="[SalesData].[Final_Price(Rs.)].[All]" dimensionUniqueName="[SalesData]" displayFolder="" count="0" memberValueDatatype="5" unbalanced="0"/>
    <cacheHierarchy uniqueName="[SalesData].[Payment_Method]" caption="Payment_Method" attribute="1" defaultMemberUniqueName="[SalesData].[Payment_Method].[All]" allUniqueName="[SalesData].[Payment_Method].[All]" dimensionUniqueName="[SalesData]" displayFolder="" count="2" memberValueDatatype="130" unbalanced="0"/>
    <cacheHierarchy uniqueName="[SalesData].[Purchase_Date]" caption="Purchase_Date" attribute="1" time="1" defaultMemberUniqueName="[SalesData].[Purchase_Date].[All]" allUniqueName="[SalesData].[Purchase_Date].[All]" dimensionUniqueName="[SalesData]" displayFolder="" count="2" memberValueDatatype="7" unbalanced="0"/>
    <cacheHierarchy uniqueName="[SalesData].[Purchase_Date (Month)]" caption="Purchase_Date (Month)" attribute="1" defaultMemberUniqueName="[SalesData].[Purchase_Date (Month)].[All]" allUniqueName="[SalesData].[Purchase_Date (Month)].[All]" dimensionUniqueName="[SalesData]" displayFolder="" count="0" memberValueDatatype="130" unbalanced="0"/>
    <cacheHierarchy uniqueName="[SalesData].[Purchase_Date (Month Index)]" caption="Purchase_Date (Month Index)" attribute="1" defaultMemberUniqueName="[SalesData].[Purchase_Date (Month Index)].[All]" allUniqueName="[SalesData].[Purchase_Date (Month Index)].[All]" dimensionUniqueName="[SalesData]" displayFolder="" count="0" memberValueDatatype="20" unbalanced="0" hidden="1"/>
    <cacheHierarchy uniqueName="[Measures].[Total Net Revenue]" caption="Total Net Revenue" measure="1" displayFolder="" measureGroup="SalesData" count="0" oneField="1">
      <fieldsUsage count="1">
        <fieldUsage x="1"/>
      </fieldsUsage>
    </cacheHierarchy>
    <cacheHierarchy uniqueName="[Measures].[Total Gross Revenue (Before Discounts)]" caption="Total Gross Revenue (Before Discounts)" measure="1" displayFolder="" measureGroup="SalesData" count="0"/>
    <cacheHierarchy uniqueName="[Measures].[Amount Lost to Discounts]" caption="Amount Lost to Discounts" measure="1" displayFolder="" measureGroup="SalesData" count="0"/>
    <cacheHierarchy uniqueName="[Measures].[Total Order Volume]" caption="Total Order Volume" measure="1" displayFolder="" measureGroup="SalesData" count="0"/>
    <cacheHierarchy uniqueName="[Measures].[Average Discount Given]" caption="Average Discount Given"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0.702184837966" backgroundQuery="1" createdVersion="8" refreshedVersion="8" minRefreshableVersion="3" recordCount="0" supportSubquery="1" supportAdvancedDrill="1" xr:uid="{E5B2D8DA-66AE-4DE5-A74C-4F3D41601689}">
  <cacheSource type="external" connectionId="2"/>
  <cacheFields count="2">
    <cacheField name="[SalesData].[Category].[Category]" caption="Category" numFmtId="0" hierarchy="2" level="1">
      <sharedItems count="7">
        <s v="Beauty"/>
        <s v="Books"/>
        <s v="Clothing"/>
        <s v="Electronics"/>
        <s v="Home &amp; Kitchen"/>
        <s v="Sports"/>
        <s v="Toys"/>
      </sharedItems>
    </cacheField>
    <cacheField name="[Measures].[Total Gross Revenue (Before Discounts)]" caption="Total Gross Revenue (Before Discounts)" numFmtId="0" hierarchy="11" level="32767"/>
  </cacheFields>
  <cacheHierarchies count="17">
    <cacheHierarchy uniqueName="[SalesData].[User_ID]" caption="User_ID" attribute="1" defaultMemberUniqueName="[SalesData].[User_ID].[All]" allUniqueName="[SalesData].[User_ID].[All]" dimensionUniqueName="[SalesData]" displayFolder="" count="0" memberValueDatatype="130" unbalanced="0"/>
    <cacheHierarchy uniqueName="[SalesData].[Product_ID]" caption="Product_ID" attribute="1" defaultMemberUniqueName="[SalesData].[Product_ID].[All]" allUniqueName="[SalesData].[Product_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0"/>
      </fieldsUsage>
    </cacheHierarchy>
    <cacheHierarchy uniqueName="[SalesData].[Price (Rs.)]" caption="Price (Rs.)" attribute="1" defaultMemberUniqueName="[SalesData].[Price (Rs.)].[All]" allUniqueName="[SalesData].[Price (Rs.)].[All]" dimensionUniqueName="[SalesData]" displayFolder="" count="0" memberValueDatatype="5" unbalanced="0"/>
    <cacheHierarchy uniqueName="[SalesData].[Discount (%)]" caption="Discount (%)" attribute="1" defaultMemberUniqueName="[SalesData].[Discount (%)].[All]" allUniqueName="[SalesData].[Discount (%)].[All]" dimensionUniqueName="[SalesData]" displayFolder="" count="0" memberValueDatatype="20" unbalanced="0"/>
    <cacheHierarchy uniqueName="[SalesData].[Final_Price(Rs.)]" caption="Final_Price(Rs.)" attribute="1" defaultMemberUniqueName="[SalesData].[Final_Price(Rs.)].[All]" allUniqueName="[SalesData].[Final_Price(Rs.)].[All]" dimensionUniqueName="[SalesData]" displayFolder="" count="0" memberValueDatatype="5" unbalanced="0"/>
    <cacheHierarchy uniqueName="[SalesData].[Payment_Method]" caption="Payment_Method" attribute="1" defaultMemberUniqueName="[SalesData].[Payment_Method].[All]" allUniqueName="[SalesData].[Payment_Method].[All]" dimensionUniqueName="[SalesData]" displayFolder="" count="2" memberValueDatatype="130" unbalanced="0"/>
    <cacheHierarchy uniqueName="[SalesData].[Purchase_Date]" caption="Purchase_Date" attribute="1" time="1" defaultMemberUniqueName="[SalesData].[Purchase_Date].[All]" allUniqueName="[SalesData].[Purchase_Date].[All]" dimensionUniqueName="[SalesData]" displayFolder="" count="2" memberValueDatatype="7" unbalanced="0"/>
    <cacheHierarchy uniqueName="[SalesData].[Purchase_Date (Month)]" caption="Purchase_Date (Month)" attribute="1" defaultMemberUniqueName="[SalesData].[Purchase_Date (Month)].[All]" allUniqueName="[SalesData].[Purchase_Date (Month)].[All]" dimensionUniqueName="[SalesData]" displayFolder="" count="0" memberValueDatatype="130" unbalanced="0"/>
    <cacheHierarchy uniqueName="[SalesData].[Purchase_Date (Month Index)]" caption="Purchase_Date (Month Index)" attribute="1" defaultMemberUniqueName="[SalesData].[Purchase_Date (Month Index)].[All]" allUniqueName="[SalesData].[Purchase_Date (Month Index)].[All]" dimensionUniqueName="[SalesData]" displayFolder="" count="0" memberValueDatatype="20" unbalanced="0" hidden="1"/>
    <cacheHierarchy uniqueName="[Measures].[Total Net Revenue]" caption="Total Net Revenue" measure="1" displayFolder="" measureGroup="SalesData" count="0"/>
    <cacheHierarchy uniqueName="[Measures].[Total Gross Revenue (Before Discounts)]" caption="Total Gross Revenue (Before Discounts)" measure="1" displayFolder="" measureGroup="SalesData" count="0" oneField="1">
      <fieldsUsage count="1">
        <fieldUsage x="1"/>
      </fieldsUsage>
    </cacheHierarchy>
    <cacheHierarchy uniqueName="[Measures].[Amount Lost to Discounts]" caption="Amount Lost to Discounts" measure="1" displayFolder="" measureGroup="SalesData" count="0"/>
    <cacheHierarchy uniqueName="[Measures].[Total Order Volume]" caption="Total Order Volume" measure="1" displayFolder="" measureGroup="SalesData" count="0"/>
    <cacheHierarchy uniqueName="[Measures].[Average Discount Given]" caption="Average Discount Given"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0.702185995367" backgroundQuery="1" createdVersion="8" refreshedVersion="8" minRefreshableVersion="3" recordCount="0" supportSubquery="1" supportAdvancedDrill="1" xr:uid="{AECAB7A5-934B-447D-887F-C9E3A2EF44D7}">
  <cacheSource type="external" connectionId="2"/>
  <cacheFields count="2">
    <cacheField name="[Measures].[Average Discount Given]" caption="Average Discount Given" numFmtId="0" hierarchy="14" level="32767"/>
    <cacheField name="[SalesData].[Category].[Category]" caption="Category" numFmtId="0" hierarchy="2" level="1">
      <sharedItems count="7">
        <s v="Beauty"/>
        <s v="Books"/>
        <s v="Clothing"/>
        <s v="Electronics"/>
        <s v="Home &amp; Kitchen"/>
        <s v="Sports"/>
        <s v="Toys"/>
      </sharedItems>
    </cacheField>
  </cacheFields>
  <cacheHierarchies count="17">
    <cacheHierarchy uniqueName="[SalesData].[User_ID]" caption="User_ID" attribute="1" defaultMemberUniqueName="[SalesData].[User_ID].[All]" allUniqueName="[SalesData].[User_ID].[All]" dimensionUniqueName="[SalesData]" displayFolder="" count="0" memberValueDatatype="130" unbalanced="0"/>
    <cacheHierarchy uniqueName="[SalesData].[Product_ID]" caption="Product_ID" attribute="1" defaultMemberUniqueName="[SalesData].[Product_ID].[All]" allUniqueName="[SalesData].[Product_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1"/>
      </fieldsUsage>
    </cacheHierarchy>
    <cacheHierarchy uniqueName="[SalesData].[Price (Rs.)]" caption="Price (Rs.)" attribute="1" defaultMemberUniqueName="[SalesData].[Price (Rs.)].[All]" allUniqueName="[SalesData].[Price (Rs.)].[All]" dimensionUniqueName="[SalesData]" displayFolder="" count="0" memberValueDatatype="5" unbalanced="0"/>
    <cacheHierarchy uniqueName="[SalesData].[Discount (%)]" caption="Discount (%)" attribute="1" defaultMemberUniqueName="[SalesData].[Discount (%)].[All]" allUniqueName="[SalesData].[Discount (%)].[All]" dimensionUniqueName="[SalesData]" displayFolder="" count="0" memberValueDatatype="20" unbalanced="0"/>
    <cacheHierarchy uniqueName="[SalesData].[Final_Price(Rs.)]" caption="Final_Price(Rs.)" attribute="1" defaultMemberUniqueName="[SalesData].[Final_Price(Rs.)].[All]" allUniqueName="[SalesData].[Final_Price(Rs.)].[All]" dimensionUniqueName="[SalesData]" displayFolder="" count="0" memberValueDatatype="5" unbalanced="0"/>
    <cacheHierarchy uniqueName="[SalesData].[Payment_Method]" caption="Payment_Method" attribute="1" defaultMemberUniqueName="[SalesData].[Payment_Method].[All]" allUniqueName="[SalesData].[Payment_Method].[All]" dimensionUniqueName="[SalesData]" displayFolder="" count="2" memberValueDatatype="130" unbalanced="0"/>
    <cacheHierarchy uniqueName="[SalesData].[Purchase_Date]" caption="Purchase_Date" attribute="1" time="1" defaultMemberUniqueName="[SalesData].[Purchase_Date].[All]" allUniqueName="[SalesData].[Purchase_Date].[All]" dimensionUniqueName="[SalesData]" displayFolder="" count="2" memberValueDatatype="7" unbalanced="0"/>
    <cacheHierarchy uniqueName="[SalesData].[Purchase_Date (Month)]" caption="Purchase_Date (Month)" attribute="1" defaultMemberUniqueName="[SalesData].[Purchase_Date (Month)].[All]" allUniqueName="[SalesData].[Purchase_Date (Month)].[All]" dimensionUniqueName="[SalesData]" displayFolder="" count="0" memberValueDatatype="130" unbalanced="0"/>
    <cacheHierarchy uniqueName="[SalesData].[Purchase_Date (Month Index)]" caption="Purchase_Date (Month Index)" attribute="1" defaultMemberUniqueName="[SalesData].[Purchase_Date (Month Index)].[All]" allUniqueName="[SalesData].[Purchase_Date (Month Index)].[All]" dimensionUniqueName="[SalesData]" displayFolder="" count="0" memberValueDatatype="20" unbalanced="0" hidden="1"/>
    <cacheHierarchy uniqueName="[Measures].[Total Net Revenue]" caption="Total Net Revenue" measure="1" displayFolder="" measureGroup="SalesData" count="0"/>
    <cacheHierarchy uniqueName="[Measures].[Total Gross Revenue (Before Discounts)]" caption="Total Gross Revenue (Before Discounts)" measure="1" displayFolder="" measureGroup="SalesData" count="0"/>
    <cacheHierarchy uniqueName="[Measures].[Amount Lost to Discounts]" caption="Amount Lost to Discounts" measure="1" displayFolder="" measureGroup="SalesData" count="0"/>
    <cacheHierarchy uniqueName="[Measures].[Total Order Volume]" caption="Total Order Volume" measure="1" displayFolder="" measureGroup="SalesData" count="0"/>
    <cacheHierarchy uniqueName="[Measures].[Average Discount Given]" caption="Average Discount Given" measure="1" displayFolder="" measureGroup="SalesData" count="0" oneField="1">
      <fieldsUsage count="1">
        <fieldUsage x="0"/>
      </fieldsUsage>
    </cacheHierarchy>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0.702186574075" backgroundQuery="1" createdVersion="8" refreshedVersion="8" minRefreshableVersion="3" recordCount="0" supportSubquery="1" supportAdvancedDrill="1" xr:uid="{DC917BBF-3C82-4407-8292-DE84F48792D9}">
  <cacheSource type="external" connectionId="2"/>
  <cacheFields count="3">
    <cacheField name="[SalesData].[Payment_Method].[Payment_Method]" caption="Payment_Method" numFmtId="0" hierarchy="6" level="1">
      <sharedItems count="5">
        <s v="Cash on Delivery"/>
        <s v="Credit Card"/>
        <s v="Debit Card"/>
        <s v="Net Banking"/>
        <s v="UPI"/>
      </sharedItems>
    </cacheField>
    <cacheField name="[Measures].[Total Net Revenue]" caption="Total Net Revenue" numFmtId="0" hierarchy="10" level="32767"/>
    <cacheField name="[SalesData].[Category].[Category]" caption="Category" numFmtId="0" hierarchy="2" level="1">
      <sharedItems containsSemiMixedTypes="0" containsNonDate="0" containsString="0"/>
    </cacheField>
  </cacheFields>
  <cacheHierarchies count="17">
    <cacheHierarchy uniqueName="[SalesData].[User_ID]" caption="User_ID" attribute="1" defaultMemberUniqueName="[SalesData].[User_ID].[All]" allUniqueName="[SalesData].[User_ID].[All]" dimensionUniqueName="[SalesData]" displayFolder="" count="0" memberValueDatatype="130" unbalanced="0"/>
    <cacheHierarchy uniqueName="[SalesData].[Product_ID]" caption="Product_ID" attribute="1" defaultMemberUniqueName="[SalesData].[Product_ID].[All]" allUniqueName="[SalesData].[Product_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2"/>
      </fieldsUsage>
    </cacheHierarchy>
    <cacheHierarchy uniqueName="[SalesData].[Price (Rs.)]" caption="Price (Rs.)" attribute="1" defaultMemberUniqueName="[SalesData].[Price (Rs.)].[All]" allUniqueName="[SalesData].[Price (Rs.)].[All]" dimensionUniqueName="[SalesData]" displayFolder="" count="0" memberValueDatatype="5" unbalanced="0"/>
    <cacheHierarchy uniqueName="[SalesData].[Discount (%)]" caption="Discount (%)" attribute="1" defaultMemberUniqueName="[SalesData].[Discount (%)].[All]" allUniqueName="[SalesData].[Discount (%)].[All]" dimensionUniqueName="[SalesData]" displayFolder="" count="0" memberValueDatatype="20" unbalanced="0"/>
    <cacheHierarchy uniqueName="[SalesData].[Final_Price(Rs.)]" caption="Final_Price(Rs.)" attribute="1" defaultMemberUniqueName="[SalesData].[Final_Price(Rs.)].[All]" allUniqueName="[SalesData].[Final_Price(Rs.)].[All]" dimensionUniqueName="[SalesData]" displayFolder="" count="0" memberValueDatatype="5" unbalanced="0"/>
    <cacheHierarchy uniqueName="[SalesData].[Payment_Method]" caption="Payment_Method" attribute="1" defaultMemberUniqueName="[SalesData].[Payment_Method].[All]" allUniqueName="[SalesData].[Payment_Method].[All]" dimensionUniqueName="[SalesData]" displayFolder="" count="2" memberValueDatatype="130" unbalanced="0">
      <fieldsUsage count="2">
        <fieldUsage x="-1"/>
        <fieldUsage x="0"/>
      </fieldsUsage>
    </cacheHierarchy>
    <cacheHierarchy uniqueName="[SalesData].[Purchase_Date]" caption="Purchase_Date" attribute="1" time="1" defaultMemberUniqueName="[SalesData].[Purchase_Date].[All]" allUniqueName="[SalesData].[Purchase_Date].[All]" dimensionUniqueName="[SalesData]" displayFolder="" count="2" memberValueDatatype="7" unbalanced="0"/>
    <cacheHierarchy uniqueName="[SalesData].[Purchase_Date (Month)]" caption="Purchase_Date (Month)" attribute="1" defaultMemberUniqueName="[SalesData].[Purchase_Date (Month)].[All]" allUniqueName="[SalesData].[Purchase_Date (Month)].[All]" dimensionUniqueName="[SalesData]" displayFolder="" count="0" memberValueDatatype="130" unbalanced="0"/>
    <cacheHierarchy uniqueName="[SalesData].[Purchase_Date (Month Index)]" caption="Purchase_Date (Month Index)" attribute="1" defaultMemberUniqueName="[SalesData].[Purchase_Date (Month Index)].[All]" allUniqueName="[SalesData].[Purchase_Date (Month Index)].[All]" dimensionUniqueName="[SalesData]" displayFolder="" count="0" memberValueDatatype="20" unbalanced="0" hidden="1"/>
    <cacheHierarchy uniqueName="[Measures].[Total Net Revenue]" caption="Total Net Revenue" measure="1" displayFolder="" measureGroup="SalesData" count="0" oneField="1">
      <fieldsUsage count="1">
        <fieldUsage x="1"/>
      </fieldsUsage>
    </cacheHierarchy>
    <cacheHierarchy uniqueName="[Measures].[Total Gross Revenue (Before Discounts)]" caption="Total Gross Revenue (Before Discounts)" measure="1" displayFolder="" measureGroup="SalesData" count="0"/>
    <cacheHierarchy uniqueName="[Measures].[Amount Lost to Discounts]" caption="Amount Lost to Discounts" measure="1" displayFolder="" measureGroup="SalesData" count="0"/>
    <cacheHierarchy uniqueName="[Measures].[Total Order Volume]" caption="Total Order Volume" measure="1" displayFolder="" measureGroup="SalesData" count="0"/>
    <cacheHierarchy uniqueName="[Measures].[Average Discount Given]" caption="Average Discount Given"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9.853340740738" backgroundQuery="1" createdVersion="3" refreshedVersion="8" minRefreshableVersion="3" recordCount="0" supportSubquery="1" supportAdvancedDrill="1" xr:uid="{6E4ABC09-796C-4142-AEF3-61E0F18B2098}">
  <cacheSource type="external" connectionId="2">
    <extLst>
      <ext xmlns:x14="http://schemas.microsoft.com/office/spreadsheetml/2009/9/main" uri="{F057638F-6D5F-4e77-A914-E7F072B9BCA8}">
        <x14:sourceConnection name="ThisWorkbookDataModel"/>
      </ext>
    </extLst>
  </cacheSource>
  <cacheFields count="0"/>
  <cacheHierarchies count="17">
    <cacheHierarchy uniqueName="[SalesData].[User_ID]" caption="User_ID" attribute="1" defaultMemberUniqueName="[SalesData].[User_ID].[All]" allUniqueName="[SalesData].[User_ID].[All]" dimensionUniqueName="[SalesData]" displayFolder="" count="0" memberValueDatatype="130" unbalanced="0"/>
    <cacheHierarchy uniqueName="[SalesData].[Product_ID]" caption="Product_ID" attribute="1" defaultMemberUniqueName="[SalesData].[Product_ID].[All]" allUniqueName="[SalesData].[Product_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Price (Rs.)]" caption="Price (Rs.)" attribute="1" defaultMemberUniqueName="[SalesData].[Price (Rs.)].[All]" allUniqueName="[SalesData].[Price (Rs.)].[All]" dimensionUniqueName="[SalesData]" displayFolder="" count="0" memberValueDatatype="5" unbalanced="0"/>
    <cacheHierarchy uniqueName="[SalesData].[Discount (%)]" caption="Discount (%)" attribute="1" defaultMemberUniqueName="[SalesData].[Discount (%)].[All]" allUniqueName="[SalesData].[Discount (%)].[All]" dimensionUniqueName="[SalesData]" displayFolder="" count="0" memberValueDatatype="20" unbalanced="0"/>
    <cacheHierarchy uniqueName="[SalesData].[Final_Price(Rs.)]" caption="Final_Price(Rs.)" attribute="1" defaultMemberUniqueName="[SalesData].[Final_Price(Rs.)].[All]" allUniqueName="[SalesData].[Final_Price(Rs.)].[All]" dimensionUniqueName="[SalesData]" displayFolder="" count="0" memberValueDatatype="5" unbalanced="0"/>
    <cacheHierarchy uniqueName="[SalesData].[Payment_Method]" caption="Payment_Method" attribute="1" defaultMemberUniqueName="[SalesData].[Payment_Method].[All]" allUniqueName="[SalesData].[Payment_Method].[All]" dimensionUniqueName="[SalesData]" displayFolder="" count="2" memberValueDatatype="130" unbalanced="0"/>
    <cacheHierarchy uniqueName="[SalesData].[Purchase_Date]" caption="Purchase_Date" attribute="1" time="1" defaultMemberUniqueName="[SalesData].[Purchase_Date].[All]" allUniqueName="[SalesData].[Purchase_Date].[All]" dimensionUniqueName="[SalesData]" displayFolder="" count="0" memberValueDatatype="7" unbalanced="0"/>
    <cacheHierarchy uniqueName="[SalesData].[Purchase_Date (Month)]" caption="Purchase_Date (Month)" attribute="1" defaultMemberUniqueName="[SalesData].[Purchase_Date (Month)].[All]" allUniqueName="[SalesData].[Purchase_Date (Month)].[All]" dimensionUniqueName="[SalesData]" displayFolder="" count="0" memberValueDatatype="130" unbalanced="0"/>
    <cacheHierarchy uniqueName="[SalesData].[Purchase_Date (Month Index)]" caption="Purchase_Date (Month Index)" attribute="1" defaultMemberUniqueName="[SalesData].[Purchase_Date (Month Index)].[All]" allUniqueName="[SalesData].[Purchase_Date (Month Index)].[All]" dimensionUniqueName="[SalesData]" displayFolder="" count="0" memberValueDatatype="20" unbalanced="0" hidden="1"/>
    <cacheHierarchy uniqueName="[Measures].[Total Net Revenue]" caption="Total Net Revenue" measure="1" displayFolder="" measureGroup="SalesData" count="0"/>
    <cacheHierarchy uniqueName="[Measures].[Total Gross Revenue (Before Discounts)]" caption="Total Gross Revenue (Before Discounts)" measure="1" displayFolder="" measureGroup="SalesData" count="0"/>
    <cacheHierarchy uniqueName="[Measures].[Amount Lost to Discounts]" caption="Amount Lost to Discounts" measure="1" displayFolder="" measureGroup="SalesData" count="0"/>
    <cacheHierarchy uniqueName="[Measures].[Total Order Volume]" caption="Total Order Volume" measure="1" displayFolder="" measureGroup="SalesData" count="0"/>
    <cacheHierarchy uniqueName="[Measures].[Average Discount Given]" caption="Average Discount Given"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0246448"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9.854142592594" backgroundQuery="1" createdVersion="3" refreshedVersion="8" minRefreshableVersion="3" recordCount="0" supportSubquery="1" supportAdvancedDrill="1" xr:uid="{DCF93E6B-45A9-4C0F-8BCB-18E4C34ED8A7}">
  <cacheSource type="external" connectionId="2">
    <extLst>
      <ext xmlns:x14="http://schemas.microsoft.com/office/spreadsheetml/2009/9/main" uri="{F057638F-6D5F-4e77-A914-E7F072B9BCA8}">
        <x14:sourceConnection name="ThisWorkbookDataModel"/>
      </ext>
    </extLst>
  </cacheSource>
  <cacheFields count="0"/>
  <cacheHierarchies count="17">
    <cacheHierarchy uniqueName="[SalesData].[User_ID]" caption="User_ID" attribute="1" defaultMemberUniqueName="[SalesData].[User_ID].[All]" allUniqueName="[SalesData].[User_ID].[All]" dimensionUniqueName="[SalesData]" displayFolder="" count="0" memberValueDatatype="130" unbalanced="0"/>
    <cacheHierarchy uniqueName="[SalesData].[Product_ID]" caption="Product_ID" attribute="1" defaultMemberUniqueName="[SalesData].[Product_ID].[All]" allUniqueName="[SalesData].[Product_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0" memberValueDatatype="130" unbalanced="0"/>
    <cacheHierarchy uniqueName="[SalesData].[Price (Rs.)]" caption="Price (Rs.)" attribute="1" defaultMemberUniqueName="[SalesData].[Price (Rs.)].[All]" allUniqueName="[SalesData].[Price (Rs.)].[All]" dimensionUniqueName="[SalesData]" displayFolder="" count="0" memberValueDatatype="5" unbalanced="0"/>
    <cacheHierarchy uniqueName="[SalesData].[Discount (%)]" caption="Discount (%)" attribute="1" defaultMemberUniqueName="[SalesData].[Discount (%)].[All]" allUniqueName="[SalesData].[Discount (%)].[All]" dimensionUniqueName="[SalesData]" displayFolder="" count="0" memberValueDatatype="20" unbalanced="0"/>
    <cacheHierarchy uniqueName="[SalesData].[Final_Price(Rs.)]" caption="Final_Price(Rs.)" attribute="1" defaultMemberUniqueName="[SalesData].[Final_Price(Rs.)].[All]" allUniqueName="[SalesData].[Final_Price(Rs.)].[All]" dimensionUniqueName="[SalesData]" displayFolder="" count="0" memberValueDatatype="5" unbalanced="0"/>
    <cacheHierarchy uniqueName="[SalesData].[Payment_Method]" caption="Payment_Method" attribute="1" defaultMemberUniqueName="[SalesData].[Payment_Method].[All]" allUniqueName="[SalesData].[Payment_Method].[All]" dimensionUniqueName="[SalesData]" displayFolder="" count="0" memberValueDatatype="130" unbalanced="0"/>
    <cacheHierarchy uniqueName="[SalesData].[Purchase_Date]" caption="Purchase_Date" attribute="1" time="1" defaultMemberUniqueName="[SalesData].[Purchase_Date].[All]" allUniqueName="[SalesData].[Purchase_Date].[All]" dimensionUniqueName="[SalesData]" displayFolder="" count="2" memberValueDatatype="7" unbalanced="0"/>
    <cacheHierarchy uniqueName="[SalesData].[Purchase_Date (Month)]" caption="Purchase_Date (Month)" attribute="1" defaultMemberUniqueName="[SalesData].[Purchase_Date (Month)].[All]" allUniqueName="[SalesData].[Purchase_Date (Month)].[All]" dimensionUniqueName="[SalesData]" displayFolder="" count="0" memberValueDatatype="130" unbalanced="0"/>
    <cacheHierarchy uniqueName="[SalesData].[Purchase_Date (Month Index)]" caption="Purchase_Date (Month Index)" attribute="1" defaultMemberUniqueName="[SalesData].[Purchase_Date (Month Index)].[All]" allUniqueName="[SalesData].[Purchase_Date (Month Index)].[All]" dimensionUniqueName="[SalesData]" displayFolder="" count="0" memberValueDatatype="20" unbalanced="0" hidden="1"/>
    <cacheHierarchy uniqueName="[Measures].[Total Net Revenue]" caption="Total Net Revenue" measure="1" displayFolder="" measureGroup="SalesData" count="0"/>
    <cacheHierarchy uniqueName="[Measures].[Total Gross Revenue (Before Discounts)]" caption="Total Gross Revenue (Before Discounts)" measure="1" displayFolder="" measureGroup="SalesData" count="0"/>
    <cacheHierarchy uniqueName="[Measures].[Amount Lost to Discounts]" caption="Amount Lost to Discounts" measure="1" displayFolder="" measureGroup="SalesData" count="0"/>
    <cacheHierarchy uniqueName="[Measures].[Total Order Volume]" caption="Total Order Volume" measure="1" displayFolder="" measureGroup="SalesData" count="0"/>
    <cacheHierarchy uniqueName="[Measures].[Average Discount Given]" caption="Average Discount Given"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55447211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DE139A-196B-4B78-80FD-91C75ADA2BCD}" name="PivotTable6" cacheId="4" applyNumberFormats="0" applyBorderFormats="0" applyFontFormats="0" applyPatternFormats="0" applyAlignmentFormats="0" applyWidthHeightFormats="1" dataCaption="Values" tag="78ec26f3-dec7-475c-be5e-f5c98aa8702e" updatedVersion="8" minRefreshableVersion="5" useAutoFormatting="1" itemPrintTitles="1" createdVersion="8" indent="0" outline="1" outlineData="1" multipleFieldFilters="0">
  <location ref="L4:M12"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fld="1" subtotal="count" baseField="0" baseItem="0" numFmtId="166"/>
  </dataFields>
  <formats count="2">
    <format dxfId="1">
      <pivotArea dataOnly="0" outline="0" axis="axisValues" fieldPosition="0"/>
    </format>
    <format dxfId="0">
      <pivotArea grandRow="1" outline="0" collapsedLevelsAreSubtotals="1" fieldPosition="0"/>
    </format>
  </formats>
  <pivotHierarchies count="17">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38F3CF-85AB-40DC-98BC-256B81B0C48A}" name="PivotTable8"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S4:T1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6">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2" format="5">
      <pivotArea type="data" outline="0" fieldPosition="0">
        <references count="2">
          <reference field="4294967294" count="1" selected="0">
            <x v="0"/>
          </reference>
          <reference field="0" count="1" selected="0">
            <x v="3"/>
          </reference>
        </references>
      </pivotArea>
    </chartFormat>
    <chartFormat chart="2" format="6">
      <pivotArea type="data" outline="0" fieldPosition="0">
        <references count="2">
          <reference field="4294967294" count="1" selected="0">
            <x v="0"/>
          </reference>
          <reference field="0" count="1" selected="0">
            <x v="4"/>
          </reference>
        </references>
      </pivotArea>
    </chartFormat>
  </chartFormats>
  <pivotHierarchies count="17">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824FEC-42C3-4CFC-AF89-ADD44ED36702}" name="PivotTable7"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P4:Q12"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fld="0" subtotal="count" baseField="0" baseItem="0"/>
  </dataFields>
  <pivotHierarchies count="17">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75B152-4DCA-47CA-B541-867427FD471F}" name="PivotTable5" cacheId="3" applyNumberFormats="0" applyBorderFormats="0" applyFontFormats="0" applyPatternFormats="0" applyAlignmentFormats="0" applyWidthHeightFormats="1" dataCaption="Values" tag="14b3affb-eff1-46f5-a884-3b23eac5ef3d" updatedVersion="8" minRefreshableVersion="5" useAutoFormatting="1" subtotalHiddenItems="1" itemPrintTitles="1" createdVersion="8" indent="0" outline="1" outlineData="1" multipleFieldFilters="0" chartFormat="3">
  <location ref="A19:B30"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1">
    <chartFormat chart="2" format="1" series="1">
      <pivotArea type="data" outline="0" fieldPosition="0">
        <references count="1">
          <reference field="4294967294" count="1" selected="0">
            <x v="0"/>
          </reference>
        </references>
      </pivotArea>
    </chartFormat>
  </chartFormats>
  <pivotHierarchies count="17">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5" iMeasureHier="10">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AE2D47-9B22-4BC7-8E55-4E0F001E9669}" name="PivotTable4" cacheId="2" applyNumberFormats="0" applyBorderFormats="0" applyFontFormats="0" applyPatternFormats="0" applyAlignmentFormats="0" applyWidthHeightFormats="1" dataCaption="Values" tag="659f4d52-b268-402d-956e-f089c27ddfd7" updatedVersion="8" minRefreshableVersion="5" useAutoFormatting="1" subtotalHiddenItems="1" itemPrintTitles="1" createdVersion="8" indent="0" outline="1" outlineData="1" multipleFieldFilters="0" chartFormat="7">
  <location ref="I4:J1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items count="11">
        <item x="0" e="0"/>
        <item x="1" e="0"/>
        <item x="2" e="0"/>
        <item x="3" e="0"/>
        <item x="4" e="0"/>
        <item x="5" e="0"/>
        <item x="6" e="0"/>
        <item x="7" e="0"/>
        <item x="8" e="0"/>
        <item x="9" e="0"/>
        <item x="10" e="0"/>
      </items>
    </pivotField>
    <pivotField dataField="1" subtotalTop="0" showAll="0" defaultSubtotal="0"/>
    <pivotField allDrilled="1" subtotalTop="0" showAll="0" dataSourceSort="1" defaultSubtotal="0" defaultAttributeDrillState="1"/>
  </pivotFields>
  <rowFields count="2">
    <field x="1"/>
    <field x="0"/>
  </rowFields>
  <rowItems count="12">
    <i>
      <x/>
    </i>
    <i>
      <x v="1"/>
    </i>
    <i>
      <x v="2"/>
    </i>
    <i>
      <x v="3"/>
    </i>
    <i>
      <x v="4"/>
    </i>
    <i>
      <x v="5"/>
    </i>
    <i>
      <x v="6"/>
    </i>
    <i>
      <x v="7"/>
    </i>
    <i>
      <x v="8"/>
    </i>
    <i>
      <x v="9"/>
    </i>
    <i>
      <x v="10"/>
    </i>
    <i t="grand">
      <x/>
    </i>
  </rowItems>
  <colItems count="1">
    <i/>
  </colItems>
  <dataFields count="1">
    <dataField fld="2" subtotal="count" baseField="0" baseItem="0" numFmtId="166"/>
  </dataFields>
  <formats count="1">
    <format dxfId="2">
      <pivotArea dataOnly="0" outline="0" axis="axisValues" fieldPosition="0"/>
    </format>
  </formats>
  <chartFormats count="1">
    <chartFormat chart="4" format="1" series="1">
      <pivotArea type="data" outline="0" fieldPosition="0">
        <references count="1">
          <reference field="4294967294" count="1" selected="0">
            <x v="0"/>
          </reference>
        </references>
      </pivotArea>
    </chartFormat>
  </chartFormats>
  <pivotHierarchies count="17">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8"/>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6BE942-9A82-4FDA-A3FF-290387DFF605}" name="PivotTable3" cacheId="1" applyNumberFormats="0" applyBorderFormats="0" applyFontFormats="0" applyPatternFormats="0" applyAlignmentFormats="0" applyWidthHeightFormats="1" dataCaption="Values" tag="d82d6271-56b6-4924-8749-5ffcb6495fc7" updatedVersion="8" minRefreshableVersion="5" useAutoFormatting="1" itemPrintTitles="1" createdVersion="8" indent="0" outline="1" outlineData="1" multipleFieldFilters="0">
  <location ref="E4:G10"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formats count="1">
    <format dxfId="3">
      <pivotArea dataOnly="0" outline="0" fieldPosition="0">
        <references count="1">
          <reference field="4294967294" count="1">
            <x v="0"/>
          </reference>
        </references>
      </pivotArea>
    </format>
  </formats>
  <pivotHierarchies count="17">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84AC39-3D63-46B2-B908-A24F59FC27C4}" name="PivotTable2" cacheId="0" applyNumberFormats="0" applyBorderFormats="0" applyFontFormats="0" applyPatternFormats="0" applyAlignmentFormats="0" applyWidthHeightFormats="1" dataCaption="Values" tag="3453eea2-6a03-4d6e-9f0c-6a7c9f36e7aa" updatedVersion="8" minRefreshableVersion="5" useAutoFormatting="1" subtotalHiddenItems="1" itemPrintTitles="1" createdVersion="8" indent="0" outline="1" outlineData="1" multipleFieldFilters="0" chartFormat="11">
  <location ref="A4:C12"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fld="1" subtotal="count" baseField="0" baseItem="0"/>
    <dataField fld="2" subtotal="count" baseField="0" baseItem="0"/>
  </dataFields>
  <formats count="2">
    <format dxfId="5">
      <pivotArea dataOnly="0" outline="0" fieldPosition="0">
        <references count="1">
          <reference field="4294967294" count="1">
            <x v="1"/>
          </reference>
        </references>
      </pivotArea>
    </format>
    <format dxfId="4">
      <pivotArea dataOnly="0" outline="0" fieldPosition="0">
        <references count="1">
          <reference field="4294967294" count="1">
            <x v="0"/>
          </reference>
        </references>
      </pivotArea>
    </format>
  </format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Hierarchies count="17">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FC31E2E-3A7C-4211-AAFE-A342AD294C13}" sourceName="[SalesData].[Category]">
  <pivotTables>
    <pivotTable tabId="1" name="PivotTable2"/>
    <pivotTable tabId="1" name="PivotTable3"/>
    <pivotTable tabId="1" name="PivotTable4"/>
    <pivotTable tabId="1" name="PivotTable5"/>
    <pivotTable tabId="1" name="PivotTable6"/>
    <pivotTable tabId="1" name="PivotTable7"/>
    <pivotTable tabId="1" name="PivotTable8"/>
  </pivotTables>
  <data>
    <olap pivotCacheId="130246448">
      <levels count="2">
        <level uniqueName="[SalesData].[Category].[(All)]" sourceCaption="(All)" count="0"/>
        <level uniqueName="[SalesData].[Category].[Category]" sourceCaption="Category" count="7">
          <ranges>
            <range startItem="0">
              <i n="[SalesData].[Category].&amp;[Beauty]" c="Beauty"/>
              <i n="[SalesData].[Category].&amp;[Books]" c="Books"/>
              <i n="[SalesData].[Category].&amp;[Clothing]" c="Clothing"/>
              <i n="[SalesData].[Category].&amp;[Electronics]" c="Electronics"/>
              <i n="[SalesData].[Category].&amp;[Home &amp; Kitchen]" c="Home &amp; Kitchen"/>
              <i n="[SalesData].[Category].&amp;[Sports]" c="Sports"/>
              <i n="[SalesData].[Category].&amp;[Toys]" c="Toys"/>
            </range>
          </ranges>
        </level>
      </levels>
      <selections count="1">
        <selection n="[SalesData].[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D71CC7A-3EBC-4918-8A18-83359B288C11}" sourceName="[SalesData].[Payment_Method]">
  <pivotTables>
    <pivotTable tabId="1" name="PivotTable2"/>
    <pivotTable tabId="1" name="PivotTable3"/>
    <pivotTable tabId="1" name="PivotTable4"/>
    <pivotTable tabId="1" name="PivotTable5"/>
    <pivotTable tabId="1" name="PivotTable6"/>
    <pivotTable tabId="1" name="PivotTable7"/>
    <pivotTable tabId="1" name="PivotTable8"/>
  </pivotTables>
  <data>
    <olap pivotCacheId="130246448">
      <levels count="2">
        <level uniqueName="[SalesData].[Payment_Method].[(All)]" sourceCaption="(All)" count="0"/>
        <level uniqueName="[SalesData].[Payment_Method].[Payment_Method]" sourceCaption="Payment_Method" count="5">
          <ranges>
            <range startItem="0">
              <i n="[SalesData].[Payment_Method].&amp;[Cash on Delivery]" c="Cash on Delivery"/>
              <i n="[SalesData].[Payment_Method].&amp;[Credit Card]" c="Credit Card"/>
              <i n="[SalesData].[Payment_Method].&amp;[Debit Card]" c="Debit Card"/>
              <i n="[SalesData].[Payment_Method].&amp;[Net Banking]" c="Net Banking"/>
              <i n="[SalesData].[Payment_Method].&amp;[UPI]" c="UPI"/>
            </range>
          </ranges>
        </level>
      </levels>
      <selections count="1">
        <selection n="[SalesData].[Payment_Meth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C6FB9FC-D811-4049-8FA5-3B6995319C59}" cache="Slicer_Category" caption="Category" level="1" style="SlicerStyleDark6" rowHeight="257175"/>
  <slicer name="Payment_Method" xr10:uid="{03457810-9C7C-44CD-8C45-64FCDF3E0C56}" cache="Slicer_Payment_Method" caption="Payment_Method" level="1" style="SlicerStyleDark6" rowHeight="257175"/>
</slicers>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Purchase_Date" xr10:uid="{55C2C851-A8D3-4336-95BA-79BB0B2E3EAE}" sourceName="[SalesData].[Purchase_Date]">
  <pivotTables>
    <pivotTable tabId="1" name="PivotTable3"/>
    <pivotTable tabId="1" name="PivotTable2"/>
    <pivotTable tabId="1" name="PivotTable4"/>
    <pivotTable tabId="1" name="PivotTable5"/>
    <pivotTable tabId="1" name="PivotTable6"/>
    <pivotTable tabId="1" name="PivotTable7"/>
    <pivotTable tabId="1" name="PivotTable8"/>
  </pivotTables>
  <state minimalRefreshVersion="6" lastRefreshVersion="6" pivotCacheId="554472119"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urchase_Date" xr10:uid="{234E319D-A60B-4996-ACCC-AA05D618B841}" cache="Timeline_Purchase_Date" caption="Purchase_Date" level="2" selectionLevel="2" scrollPosition="2024-01-01T00:00:00" style="TimeSlicerStyleDark6"/>
</timelines>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BEF0C-70E5-457A-A15D-9DD6C891E4F2}">
  <dimension ref="A2:T39"/>
  <sheetViews>
    <sheetView showGridLines="0" workbookViewId="0">
      <selection activeCell="B19" sqref="B19"/>
    </sheetView>
  </sheetViews>
  <sheetFormatPr defaultRowHeight="15" x14ac:dyDescent="0.25"/>
  <cols>
    <col min="1" max="1" width="13.42578125" bestFit="1" customWidth="1"/>
    <col min="2" max="2" width="17.85546875" bestFit="1" customWidth="1"/>
    <col min="3" max="3" width="24.5703125" bestFit="1" customWidth="1"/>
    <col min="4" max="4" width="12.5703125" bestFit="1" customWidth="1"/>
    <col min="5" max="5" width="15.5703125" bestFit="1" customWidth="1"/>
    <col min="6" max="6" width="17.85546875" bestFit="1" customWidth="1"/>
    <col min="7" max="7" width="18.5703125" bestFit="1" customWidth="1"/>
    <col min="8" max="8" width="13.5703125" customWidth="1"/>
    <col min="9" max="9" width="13.42578125" bestFit="1" customWidth="1"/>
    <col min="10" max="10" width="18.7109375" bestFit="1" customWidth="1"/>
    <col min="12" max="12" width="15" bestFit="1" customWidth="1"/>
    <col min="13" max="13" width="38.85546875" bestFit="1" customWidth="1"/>
    <col min="15" max="15" width="12" bestFit="1" customWidth="1"/>
    <col min="16" max="16" width="15" bestFit="1" customWidth="1"/>
    <col min="17" max="17" width="22.85546875" bestFit="1" customWidth="1"/>
    <col min="19" max="19" width="15.5703125" bestFit="1" customWidth="1"/>
    <col min="20" max="20" width="17.85546875" bestFit="1" customWidth="1"/>
  </cols>
  <sheetData>
    <row r="2" spans="1:20" ht="24" x14ac:dyDescent="0.4">
      <c r="A2" s="16" t="s">
        <v>28</v>
      </c>
      <c r="B2" s="16"/>
      <c r="E2" s="4" t="s">
        <v>27</v>
      </c>
      <c r="F2" s="4"/>
      <c r="I2" s="15" t="s">
        <v>29</v>
      </c>
      <c r="J2" s="15"/>
      <c r="L2" s="16" t="s">
        <v>43</v>
      </c>
      <c r="M2" s="16"/>
      <c r="P2" s="14" t="s">
        <v>46</v>
      </c>
      <c r="Q2" s="14"/>
      <c r="S2" s="14" t="s">
        <v>47</v>
      </c>
      <c r="T2" s="14"/>
    </row>
    <row r="4" spans="1:20" x14ac:dyDescent="0.25">
      <c r="A4" s="1" t="s">
        <v>22</v>
      </c>
      <c r="B4" s="5" t="s">
        <v>24</v>
      </c>
      <c r="C4" s="5" t="s">
        <v>25</v>
      </c>
      <c r="E4" s="1" t="s">
        <v>22</v>
      </c>
      <c r="F4" s="6" t="s">
        <v>24</v>
      </c>
      <c r="G4" t="s">
        <v>26</v>
      </c>
      <c r="I4" s="1" t="s">
        <v>22</v>
      </c>
      <c r="J4" s="7" t="s">
        <v>24</v>
      </c>
      <c r="L4" s="1" t="s">
        <v>22</v>
      </c>
      <c r="M4" s="7" t="s">
        <v>44</v>
      </c>
      <c r="P4" s="1" t="s">
        <v>22</v>
      </c>
      <c r="Q4" t="s">
        <v>45</v>
      </c>
      <c r="S4" s="1" t="s">
        <v>22</v>
      </c>
      <c r="T4" t="s">
        <v>24</v>
      </c>
    </row>
    <row r="5" spans="1:20" x14ac:dyDescent="0.25">
      <c r="A5" s="2" t="s">
        <v>6</v>
      </c>
      <c r="B5" s="5">
        <v>104215.1</v>
      </c>
      <c r="C5" s="5">
        <v>23417.939999999988</v>
      </c>
      <c r="E5" s="2" t="s">
        <v>9</v>
      </c>
      <c r="F5" s="6">
        <v>146408.59</v>
      </c>
      <c r="G5">
        <v>696</v>
      </c>
      <c r="I5" s="2" t="s">
        <v>30</v>
      </c>
      <c r="J5" s="7">
        <v>69009.429999999993</v>
      </c>
      <c r="L5" s="2" t="s">
        <v>6</v>
      </c>
      <c r="M5" s="7">
        <v>127633.04</v>
      </c>
      <c r="P5" s="2" t="s">
        <v>6</v>
      </c>
      <c r="Q5" s="12">
        <v>0.18475247524752475</v>
      </c>
      <c r="S5" s="2" t="s">
        <v>9</v>
      </c>
      <c r="T5">
        <v>146408.59</v>
      </c>
    </row>
    <row r="6" spans="1:20" x14ac:dyDescent="0.25">
      <c r="A6" s="2" t="s">
        <v>7</v>
      </c>
      <c r="B6" s="5">
        <v>111149.35</v>
      </c>
      <c r="C6" s="5">
        <v>27222.359999999986</v>
      </c>
      <c r="E6" s="2" t="s">
        <v>3</v>
      </c>
      <c r="F6" s="6">
        <v>156018.01999999999</v>
      </c>
      <c r="G6">
        <v>760</v>
      </c>
      <c r="I6" s="2" t="s">
        <v>31</v>
      </c>
      <c r="J6" s="7">
        <v>69186.34</v>
      </c>
      <c r="L6" s="2" t="s">
        <v>7</v>
      </c>
      <c r="M6" s="7">
        <v>138371.71</v>
      </c>
      <c r="P6" s="2" t="s">
        <v>7</v>
      </c>
      <c r="Q6" s="12">
        <v>0.1903558052434457</v>
      </c>
      <c r="S6" s="2" t="s">
        <v>3</v>
      </c>
      <c r="T6">
        <v>156018.01999999999</v>
      </c>
    </row>
    <row r="7" spans="1:20" x14ac:dyDescent="0.25">
      <c r="A7" s="2" t="s">
        <v>2</v>
      </c>
      <c r="B7" s="5">
        <v>115314.84</v>
      </c>
      <c r="C7" s="5">
        <v>24399.709999999992</v>
      </c>
      <c r="E7" s="2" t="s">
        <v>11</v>
      </c>
      <c r="F7" s="6">
        <v>153362.26</v>
      </c>
      <c r="G7">
        <v>731</v>
      </c>
      <c r="I7" s="2" t="s">
        <v>32</v>
      </c>
      <c r="J7" s="7">
        <v>71325.399999999994</v>
      </c>
      <c r="L7" s="2" t="s">
        <v>2</v>
      </c>
      <c r="M7" s="7">
        <v>139714.54999999999</v>
      </c>
      <c r="P7" s="2" t="s">
        <v>2</v>
      </c>
      <c r="Q7" s="12">
        <v>0.17919020715630884</v>
      </c>
      <c r="S7" s="2" t="s">
        <v>11</v>
      </c>
      <c r="T7">
        <v>153362.26</v>
      </c>
    </row>
    <row r="8" spans="1:20" x14ac:dyDescent="0.25">
      <c r="A8" s="2" t="s">
        <v>10</v>
      </c>
      <c r="B8" s="5">
        <v>100462.23</v>
      </c>
      <c r="C8" s="5">
        <v>24857.910000000003</v>
      </c>
      <c r="E8" s="2" t="s">
        <v>1</v>
      </c>
      <c r="F8" s="6">
        <v>146804.4</v>
      </c>
      <c r="G8">
        <v>716</v>
      </c>
      <c r="I8" s="2" t="s">
        <v>33</v>
      </c>
      <c r="J8" s="7">
        <v>74365.13</v>
      </c>
      <c r="L8" s="2" t="s">
        <v>10</v>
      </c>
      <c r="M8" s="7">
        <v>125320.14</v>
      </c>
      <c r="P8" s="2" t="s">
        <v>10</v>
      </c>
      <c r="Q8" s="12">
        <v>0.19267068273092369</v>
      </c>
      <c r="S8" s="2" t="s">
        <v>1</v>
      </c>
      <c r="T8">
        <v>146804.4</v>
      </c>
    </row>
    <row r="9" spans="1:20" x14ac:dyDescent="0.25">
      <c r="A9" s="2" t="s">
        <v>8</v>
      </c>
      <c r="B9" s="5">
        <v>110328.08</v>
      </c>
      <c r="C9" s="5">
        <v>26513.430000000008</v>
      </c>
      <c r="E9" s="2" t="s">
        <v>5</v>
      </c>
      <c r="F9" s="6">
        <v>154684.81</v>
      </c>
      <c r="G9">
        <v>757</v>
      </c>
      <c r="I9" s="2" t="s">
        <v>34</v>
      </c>
      <c r="J9" s="7">
        <v>68837.25</v>
      </c>
      <c r="L9" s="2" t="s">
        <v>8</v>
      </c>
      <c r="M9" s="7">
        <v>136841.51</v>
      </c>
      <c r="P9" s="2" t="s">
        <v>8</v>
      </c>
      <c r="Q9" s="12">
        <v>0.19608378870673954</v>
      </c>
      <c r="S9" s="2" t="s">
        <v>5</v>
      </c>
      <c r="T9">
        <v>154684.81</v>
      </c>
    </row>
    <row r="10" spans="1:20" x14ac:dyDescent="0.25">
      <c r="A10" s="2" t="s">
        <v>0</v>
      </c>
      <c r="B10" s="5">
        <v>108518.79</v>
      </c>
      <c r="C10" s="5">
        <v>25963.199999999997</v>
      </c>
      <c r="E10" s="2" t="s">
        <v>23</v>
      </c>
      <c r="F10" s="6">
        <v>757278.08</v>
      </c>
      <c r="G10">
        <v>3660</v>
      </c>
      <c r="I10" s="2" t="s">
        <v>35</v>
      </c>
      <c r="J10" s="7">
        <v>64256.66</v>
      </c>
      <c r="L10" s="2" t="s">
        <v>0</v>
      </c>
      <c r="M10" s="7">
        <v>134481.99</v>
      </c>
      <c r="P10" s="2" t="s">
        <v>0</v>
      </c>
      <c r="Q10" s="12">
        <v>0.19326923076923078</v>
      </c>
      <c r="S10" s="2" t="s">
        <v>23</v>
      </c>
      <c r="T10">
        <v>757278.08</v>
      </c>
    </row>
    <row r="11" spans="1:20" x14ac:dyDescent="0.25">
      <c r="A11" s="2" t="s">
        <v>4</v>
      </c>
      <c r="B11" s="5">
        <v>107289.69</v>
      </c>
      <c r="C11" s="5">
        <v>22917.839999999997</v>
      </c>
      <c r="I11" s="2" t="s">
        <v>36</v>
      </c>
      <c r="J11" s="7">
        <v>72798.23</v>
      </c>
      <c r="L11" s="2" t="s">
        <v>4</v>
      </c>
      <c r="M11" s="7">
        <v>130207.53</v>
      </c>
      <c r="P11" s="2" t="s">
        <v>4</v>
      </c>
      <c r="Q11" s="12">
        <v>0.18126195028680686</v>
      </c>
    </row>
    <row r="12" spans="1:20" x14ac:dyDescent="0.25">
      <c r="A12" s="2" t="s">
        <v>23</v>
      </c>
      <c r="B12" s="5">
        <v>757278.08</v>
      </c>
      <c r="C12" s="5">
        <v>175292.39</v>
      </c>
      <c r="I12" s="2" t="s">
        <v>37</v>
      </c>
      <c r="J12" s="7">
        <v>71506.960000000006</v>
      </c>
      <c r="L12" s="2" t="s">
        <v>23</v>
      </c>
      <c r="M12" s="7">
        <v>932570.47</v>
      </c>
      <c r="P12" s="2" t="s">
        <v>23</v>
      </c>
      <c r="Q12" s="12">
        <v>0.18825136612021859</v>
      </c>
    </row>
    <row r="13" spans="1:20" x14ac:dyDescent="0.25">
      <c r="I13" s="2" t="s">
        <v>38</v>
      </c>
      <c r="J13" s="7">
        <v>68043.09</v>
      </c>
    </row>
    <row r="14" spans="1:20" x14ac:dyDescent="0.25">
      <c r="I14" s="2" t="s">
        <v>39</v>
      </c>
      <c r="J14" s="7">
        <v>76034.509999999995</v>
      </c>
      <c r="O14" s="9">
        <f>GETPIVOTDATA("[Measures].[Total Gross Revenue (Before Discounts)]",$L$4)</f>
        <v>932570.47</v>
      </c>
    </row>
    <row r="15" spans="1:20" x14ac:dyDescent="0.25">
      <c r="D15" s="9">
        <f>GETPIVOTDATA("[Measures].[Amount Lost to Discounts]",$A$4)</f>
        <v>175292.39</v>
      </c>
      <c r="I15" s="2" t="s">
        <v>40</v>
      </c>
      <c r="J15" s="7">
        <v>51915.08</v>
      </c>
      <c r="R15" s="13">
        <f>GETPIVOTDATA("[Measures].[Average Discount Given]",$P$4)</f>
        <v>0.18825136612021859</v>
      </c>
    </row>
    <row r="16" spans="1:20" x14ac:dyDescent="0.25">
      <c r="I16" s="2" t="s">
        <v>23</v>
      </c>
      <c r="J16" s="7">
        <v>757278.08</v>
      </c>
    </row>
    <row r="17" spans="1:2" ht="24" x14ac:dyDescent="0.4">
      <c r="A17" s="16" t="s">
        <v>41</v>
      </c>
      <c r="B17" s="16"/>
    </row>
    <row r="19" spans="1:2" x14ac:dyDescent="0.25">
      <c r="A19" s="1" t="s">
        <v>22</v>
      </c>
      <c r="B19" t="s">
        <v>24</v>
      </c>
    </row>
    <row r="20" spans="1:2" x14ac:dyDescent="0.25">
      <c r="A20" s="2" t="s">
        <v>19</v>
      </c>
      <c r="B20">
        <v>487.06</v>
      </c>
    </row>
    <row r="21" spans="1:2" x14ac:dyDescent="0.25">
      <c r="A21" s="2" t="s">
        <v>21</v>
      </c>
      <c r="B21">
        <v>486.79</v>
      </c>
    </row>
    <row r="22" spans="1:2" x14ac:dyDescent="0.25">
      <c r="A22" s="2" t="s">
        <v>18</v>
      </c>
      <c r="B22">
        <v>495.02</v>
      </c>
    </row>
    <row r="23" spans="1:2" x14ac:dyDescent="0.25">
      <c r="A23" s="2" t="s">
        <v>15</v>
      </c>
      <c r="B23">
        <v>480.49</v>
      </c>
    </row>
    <row r="24" spans="1:2" x14ac:dyDescent="0.25">
      <c r="A24" s="2" t="s">
        <v>14</v>
      </c>
      <c r="B24">
        <v>493.04</v>
      </c>
    </row>
    <row r="25" spans="1:2" x14ac:dyDescent="0.25">
      <c r="A25" s="2" t="s">
        <v>20</v>
      </c>
      <c r="B25">
        <v>484.56</v>
      </c>
    </row>
    <row r="26" spans="1:2" x14ac:dyDescent="0.25">
      <c r="A26" s="2" t="s">
        <v>13</v>
      </c>
      <c r="B26">
        <v>496.82</v>
      </c>
    </row>
    <row r="27" spans="1:2" x14ac:dyDescent="0.25">
      <c r="A27" s="2" t="s">
        <v>12</v>
      </c>
      <c r="B27">
        <v>479.63</v>
      </c>
    </row>
    <row r="28" spans="1:2" x14ac:dyDescent="0.25">
      <c r="A28" s="2" t="s">
        <v>17</v>
      </c>
      <c r="B28">
        <v>491.7</v>
      </c>
    </row>
    <row r="29" spans="1:2" x14ac:dyDescent="0.25">
      <c r="A29" s="2" t="s">
        <v>16</v>
      </c>
      <c r="B29">
        <v>492.41</v>
      </c>
    </row>
    <row r="30" spans="1:2" x14ac:dyDescent="0.25">
      <c r="A30" s="2" t="s">
        <v>23</v>
      </c>
      <c r="B30">
        <v>4887.5200000000004</v>
      </c>
    </row>
    <row r="36" spans="4:6" x14ac:dyDescent="0.25">
      <c r="D36" s="10">
        <f>GETPIVOTDATA("[Measures].[Total Net Revenue]",$A$4)</f>
        <v>757278.08</v>
      </c>
    </row>
    <row r="39" spans="4:6" x14ac:dyDescent="0.25">
      <c r="F39" s="11">
        <f>GETPIVOTDATA("[Measures].[Total Order Volume]",$E$4)</f>
        <v>3660</v>
      </c>
    </row>
  </sheetData>
  <mergeCells count="6">
    <mergeCell ref="S2:T2"/>
    <mergeCell ref="I2:J2"/>
    <mergeCell ref="A2:B2"/>
    <mergeCell ref="A17:B17"/>
    <mergeCell ref="L2:M2"/>
    <mergeCell ref="P2:Q2"/>
  </mergeCells>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73B4D-9ACC-4B37-AD4B-A4C8FD4367C5}">
  <dimension ref="A1:N2"/>
  <sheetViews>
    <sheetView showGridLines="0" tabSelected="1" zoomScaleNormal="100" workbookViewId="0">
      <selection activeCell="Y1" sqref="Y1"/>
    </sheetView>
  </sheetViews>
  <sheetFormatPr defaultRowHeight="15" x14ac:dyDescent="0.25"/>
  <cols>
    <col min="1" max="16384" width="9.140625" style="3"/>
  </cols>
  <sheetData>
    <row r="1" spans="1:14" ht="38.25" x14ac:dyDescent="0.6">
      <c r="A1" s="17" t="s">
        <v>42</v>
      </c>
      <c r="B1" s="17"/>
      <c r="C1" s="17"/>
      <c r="D1" s="17"/>
      <c r="E1" s="17"/>
      <c r="F1" s="17"/>
      <c r="G1" s="17"/>
      <c r="H1" s="17"/>
      <c r="I1" s="17"/>
      <c r="J1" s="17"/>
      <c r="K1" s="17"/>
      <c r="L1" s="17"/>
      <c r="M1" s="17"/>
      <c r="N1" s="17"/>
    </row>
    <row r="2" spans="1:14" x14ac:dyDescent="0.25">
      <c r="G2" s="8"/>
    </row>
  </sheetData>
  <mergeCells count="1">
    <mergeCell ref="A1:N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Props1.xml><?xml version="1.0" encoding="utf-8"?>
<ds:datastoreItem xmlns:ds="http://schemas.openxmlformats.org/officeDocument/2006/customXml" ds:itemID="{705659EE-8CFF-421E-BFDC-9F9613AFA0D7}">
  <ds:schemaRefs/>
</ds:datastoreItem>
</file>

<file path=customXml/itemProps2.xml><?xml version="1.0" encoding="utf-8"?>
<ds:datastoreItem xmlns:ds="http://schemas.openxmlformats.org/officeDocument/2006/customXml" ds:itemID="{3A88BB35-05AD-4FE3-B9A5-0104AC61A80F}">
  <ds:schemaRefs>
    <ds:schemaRef ds:uri="http://schemas.microsoft.com/DataMashup"/>
  </ds:schemaRefs>
</ds:datastoreItem>
</file>

<file path=customXml/itemProps3.xml><?xml version="1.0" encoding="utf-8"?>
<ds:datastoreItem xmlns:ds="http://schemas.openxmlformats.org/officeDocument/2006/customXml" ds:itemID="{108F784C-53FA-4900-BE06-066B520FD321}">
  <ds:schemaRefs/>
</ds:datastoreItem>
</file>

<file path=customXml/itemProps4.xml><?xml version="1.0" encoding="utf-8"?>
<ds:datastoreItem xmlns:ds="http://schemas.openxmlformats.org/officeDocument/2006/customXml" ds:itemID="{8A38FF8B-7C2B-476F-8823-4E42914CAA05}">
  <ds:schemaRefs/>
</ds:datastoreItem>
</file>

<file path=customXml/itemProps5.xml><?xml version="1.0" encoding="utf-8"?>
<ds:datastoreItem xmlns:ds="http://schemas.openxmlformats.org/officeDocument/2006/customXml" ds:itemID="{0B9E1AA0-9EBA-4DA7-B205-83063DD8CD36}">
  <ds:schemaRefs/>
</ds:datastoreItem>
</file>

<file path=customXml/itemProps6.xml><?xml version="1.0" encoding="utf-8"?>
<ds:datastoreItem xmlns:ds="http://schemas.openxmlformats.org/officeDocument/2006/customXml" ds:itemID="{27979B55-E380-410E-8AC7-086FA8F0B1C8}">
  <ds:schemaRefs/>
</ds:datastoreItem>
</file>

<file path=customXml/itemProps7.xml><?xml version="1.0" encoding="utf-8"?>
<ds:datastoreItem xmlns:ds="http://schemas.openxmlformats.org/officeDocument/2006/customXml" ds:itemID="{54F56047-FA49-46E3-ACCE-41B2E9FC4577}">
  <ds:schemaRefs/>
</ds:datastoreItem>
</file>

<file path=customXml/itemProps8.xml><?xml version="1.0" encoding="utf-8"?>
<ds:datastoreItem xmlns:ds="http://schemas.openxmlformats.org/officeDocument/2006/customXml" ds:itemID="{26C36699-94A7-4976-A94F-919040A3CB06}">
  <ds:schemaRefs/>
</ds:datastoreItem>
</file>

<file path=customXml/itemProps9.xml><?xml version="1.0" encoding="utf-8"?>
<ds:datastoreItem xmlns:ds="http://schemas.openxmlformats.org/officeDocument/2006/customXml" ds:itemID="{EA05382D-4688-437C-AF2C-E41074167777}">
  <ds:schemaRefs/>
</ds:datastoreItem>
</file>

<file path=customXml/itemProps10.xml><?xml version="1.0" encoding="utf-8"?>
<ds:datastoreItem xmlns:ds="http://schemas.openxmlformats.org/officeDocument/2006/customXml" ds:itemID="{CC83401B-F1EE-4C11-8909-81CADB9A7ACE}">
  <ds:schemaRefs/>
</ds:datastoreItem>
</file>

<file path=customXml/itemProps11.xml><?xml version="1.0" encoding="utf-8"?>
<ds:datastoreItem xmlns:ds="http://schemas.openxmlformats.org/officeDocument/2006/customXml" ds:itemID="{39347D74-96CD-45D6-BA44-23779F194A8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Morara</dc:creator>
  <cp:lastModifiedBy>Brian Morara</cp:lastModifiedBy>
  <cp:lastPrinted>2026-09-05T13:50:05Z</cp:lastPrinted>
  <dcterms:created xsi:type="dcterms:W3CDTF">2026-09-04T13:35:54Z</dcterms:created>
  <dcterms:modified xsi:type="dcterms:W3CDTF">2026-09-05T15:55:57Z</dcterms:modified>
</cp:coreProperties>
</file>